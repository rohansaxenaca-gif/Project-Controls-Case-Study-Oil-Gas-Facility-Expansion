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OneDrive\Documents\### WORK\Personal Projects\Project Controls\ABOG100 - Alberta Oil and Gas Facility Expansion Project\Rohan Saxena - Primavera P6 Project Controls Case Study\"/>
    </mc:Choice>
  </mc:AlternateContent>
  <xr:revisionPtr revIDLastSave="0" documentId="13_ncr:1_{32AFB560-21FA-44F7-90CD-A73390CE6794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Detail1" sheetId="11" state="hidden" r:id="rId1"/>
    <sheet name="Project Controls Analysis" sheetId="12" r:id="rId2"/>
    <sheet name="Earned Value S-Curve" sheetId="10" r:id="rId3"/>
    <sheet name="Project Data" sheetId="9" r:id="rId4"/>
    <sheet name="Resource Sheet" sheetId="7" state="hidden" r:id="rId5"/>
    <sheet name="Predecessors" sheetId="3" state="hidden" r:id="rId6"/>
  </sheets>
  <definedNames>
    <definedName name="_xlnm.Print_Area" localSheetId="2">'Earned Value S-Curve'!$A$1:$Q$40</definedName>
    <definedName name="_xlnm.Print_Area" localSheetId="1">'Project Controls Analysis'!$A$1:$B$52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2" l="1"/>
  <c r="B9" i="12"/>
  <c r="B13" i="12" s="1"/>
  <c r="B7" i="12"/>
  <c r="P213" i="9"/>
  <c r="N213" i="9"/>
  <c r="M213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4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4" i="10"/>
  <c r="F5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4" i="10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5" i="9"/>
  <c r="L6" i="9"/>
  <c r="L7" i="9"/>
  <c r="L8" i="9"/>
  <c r="L9" i="9"/>
  <c r="L10" i="9"/>
  <c r="L11" i="9"/>
  <c r="L12" i="9"/>
  <c r="N12" i="9" s="1"/>
  <c r="L13" i="9"/>
  <c r="N13" i="9" s="1"/>
  <c r="L14" i="9"/>
  <c r="L15" i="9"/>
  <c r="L16" i="9"/>
  <c r="L17" i="9"/>
  <c r="L18" i="9"/>
  <c r="N18" i="9" s="1"/>
  <c r="L19" i="9"/>
  <c r="L20" i="9"/>
  <c r="N20" i="9" s="1"/>
  <c r="L21" i="9"/>
  <c r="N21" i="9" s="1"/>
  <c r="L22" i="9"/>
  <c r="L23" i="9"/>
  <c r="N23" i="9" s="1"/>
  <c r="L24" i="9"/>
  <c r="L25" i="9"/>
  <c r="L26" i="9"/>
  <c r="N26" i="9" s="1"/>
  <c r="L27" i="9"/>
  <c r="L28" i="9"/>
  <c r="N28" i="9" s="1"/>
  <c r="L29" i="9"/>
  <c r="N29" i="9" s="1"/>
  <c r="L30" i="9"/>
  <c r="L31" i="9"/>
  <c r="N31" i="9" s="1"/>
  <c r="L32" i="9"/>
  <c r="L33" i="9"/>
  <c r="L34" i="9"/>
  <c r="L35" i="9"/>
  <c r="L36" i="9"/>
  <c r="N36" i="9" s="1"/>
  <c r="L37" i="9"/>
  <c r="N37" i="9" s="1"/>
  <c r="L38" i="9"/>
  <c r="L39" i="9"/>
  <c r="N39" i="9" s="1"/>
  <c r="L40" i="9"/>
  <c r="L41" i="9"/>
  <c r="L42" i="9"/>
  <c r="N42" i="9" s="1"/>
  <c r="L43" i="9"/>
  <c r="L44" i="9"/>
  <c r="N44" i="9" s="1"/>
  <c r="L45" i="9"/>
  <c r="N45" i="9" s="1"/>
  <c r="L46" i="9"/>
  <c r="L47" i="9"/>
  <c r="N47" i="9" s="1"/>
  <c r="L48" i="9"/>
  <c r="L49" i="9"/>
  <c r="L50" i="9"/>
  <c r="N50" i="9" s="1"/>
  <c r="L51" i="9"/>
  <c r="L52" i="9"/>
  <c r="N52" i="9" s="1"/>
  <c r="L53" i="9"/>
  <c r="N53" i="9" s="1"/>
  <c r="L54" i="9"/>
  <c r="L55" i="9"/>
  <c r="L56" i="9"/>
  <c r="L57" i="9"/>
  <c r="L58" i="9"/>
  <c r="N58" i="9" s="1"/>
  <c r="L59" i="9"/>
  <c r="L60" i="9"/>
  <c r="N60" i="9" s="1"/>
  <c r="L61" i="9"/>
  <c r="N61" i="9" s="1"/>
  <c r="L62" i="9"/>
  <c r="L63" i="9"/>
  <c r="N63" i="9" s="1"/>
  <c r="L64" i="9"/>
  <c r="L65" i="9"/>
  <c r="L66" i="9"/>
  <c r="N66" i="9" s="1"/>
  <c r="L67" i="9"/>
  <c r="L68" i="9"/>
  <c r="N68" i="9" s="1"/>
  <c r="L69" i="9"/>
  <c r="N69" i="9" s="1"/>
  <c r="L70" i="9"/>
  <c r="L71" i="9"/>
  <c r="L72" i="9"/>
  <c r="L73" i="9"/>
  <c r="L74" i="9"/>
  <c r="L75" i="9"/>
  <c r="L76" i="9"/>
  <c r="N76" i="9" s="1"/>
  <c r="L77" i="9"/>
  <c r="N77" i="9" s="1"/>
  <c r="L78" i="9"/>
  <c r="L79" i="9"/>
  <c r="L80" i="9"/>
  <c r="L81" i="9"/>
  <c r="L82" i="9"/>
  <c r="L83" i="9"/>
  <c r="L84" i="9"/>
  <c r="N84" i="9" s="1"/>
  <c r="L85" i="9"/>
  <c r="N85" i="9" s="1"/>
  <c r="L86" i="9"/>
  <c r="L87" i="9"/>
  <c r="N87" i="9" s="1"/>
  <c r="L88" i="9"/>
  <c r="L89" i="9"/>
  <c r="L90" i="9"/>
  <c r="N90" i="9" s="1"/>
  <c r="L91" i="9"/>
  <c r="L92" i="9"/>
  <c r="N92" i="9" s="1"/>
  <c r="L93" i="9"/>
  <c r="N93" i="9" s="1"/>
  <c r="L94" i="9"/>
  <c r="L95" i="9"/>
  <c r="N95" i="9" s="1"/>
  <c r="L96" i="9"/>
  <c r="L97" i="9"/>
  <c r="L98" i="9"/>
  <c r="N98" i="9" s="1"/>
  <c r="L99" i="9"/>
  <c r="L100" i="9"/>
  <c r="N100" i="9" s="1"/>
  <c r="L101" i="9"/>
  <c r="N101" i="9" s="1"/>
  <c r="L102" i="9"/>
  <c r="L103" i="9"/>
  <c r="N103" i="9" s="1"/>
  <c r="L104" i="9"/>
  <c r="L105" i="9"/>
  <c r="L106" i="9"/>
  <c r="N106" i="9" s="1"/>
  <c r="L107" i="9"/>
  <c r="L108" i="9"/>
  <c r="N108" i="9" s="1"/>
  <c r="L109" i="9"/>
  <c r="L110" i="9"/>
  <c r="L111" i="9"/>
  <c r="N111" i="9" s="1"/>
  <c r="L112" i="9"/>
  <c r="L113" i="9"/>
  <c r="L114" i="9"/>
  <c r="L115" i="9"/>
  <c r="L116" i="9"/>
  <c r="N116" i="9" s="1"/>
  <c r="L117" i="9"/>
  <c r="N117" i="9" s="1"/>
  <c r="L118" i="9"/>
  <c r="L119" i="9"/>
  <c r="L120" i="9"/>
  <c r="L121" i="9"/>
  <c r="L122" i="9"/>
  <c r="N122" i="9" s="1"/>
  <c r="L123" i="9"/>
  <c r="L124" i="9"/>
  <c r="N124" i="9" s="1"/>
  <c r="L125" i="9"/>
  <c r="N125" i="9" s="1"/>
  <c r="L126" i="9"/>
  <c r="L127" i="9"/>
  <c r="N127" i="9" s="1"/>
  <c r="L128" i="9"/>
  <c r="L129" i="9"/>
  <c r="L130" i="9"/>
  <c r="N130" i="9" s="1"/>
  <c r="L131" i="9"/>
  <c r="L132" i="9"/>
  <c r="N132" i="9" s="1"/>
  <c r="L133" i="9"/>
  <c r="N133" i="9" s="1"/>
  <c r="L134" i="9"/>
  <c r="L135" i="9"/>
  <c r="L136" i="9"/>
  <c r="N136" i="9" s="1"/>
  <c r="L137" i="9"/>
  <c r="L138" i="9"/>
  <c r="N138" i="9" s="1"/>
  <c r="L139" i="9"/>
  <c r="L140" i="9"/>
  <c r="N140" i="9" s="1"/>
  <c r="L141" i="9"/>
  <c r="N141" i="9" s="1"/>
  <c r="U141" i="9" s="1"/>
  <c r="L142" i="9"/>
  <c r="L143" i="9"/>
  <c r="L144" i="9"/>
  <c r="L145" i="9"/>
  <c r="L146" i="9"/>
  <c r="N146" i="9" s="1"/>
  <c r="L147" i="9"/>
  <c r="L148" i="9"/>
  <c r="N148" i="9" s="1"/>
  <c r="L149" i="9"/>
  <c r="N149" i="9" s="1"/>
  <c r="L150" i="9"/>
  <c r="L151" i="9"/>
  <c r="N151" i="9" s="1"/>
  <c r="L152" i="9"/>
  <c r="L153" i="9"/>
  <c r="L154" i="9"/>
  <c r="L155" i="9"/>
  <c r="L156" i="9"/>
  <c r="N156" i="9" s="1"/>
  <c r="L157" i="9"/>
  <c r="N157" i="9" s="1"/>
  <c r="L158" i="9"/>
  <c r="L159" i="9"/>
  <c r="N159" i="9" s="1"/>
  <c r="L160" i="9"/>
  <c r="L161" i="9"/>
  <c r="L162" i="9"/>
  <c r="N162" i="9" s="1"/>
  <c r="L163" i="9"/>
  <c r="L164" i="9"/>
  <c r="N164" i="9" s="1"/>
  <c r="L165" i="9"/>
  <c r="N165" i="9" s="1"/>
  <c r="L166" i="9"/>
  <c r="L167" i="9"/>
  <c r="N167" i="9" s="1"/>
  <c r="L168" i="9"/>
  <c r="L169" i="9"/>
  <c r="L170" i="9"/>
  <c r="N170" i="9" s="1"/>
  <c r="L171" i="9"/>
  <c r="L172" i="9"/>
  <c r="N172" i="9" s="1"/>
  <c r="L173" i="9"/>
  <c r="N173" i="9" s="1"/>
  <c r="L174" i="9"/>
  <c r="L175" i="9"/>
  <c r="N175" i="9" s="1"/>
  <c r="L176" i="9"/>
  <c r="L177" i="9"/>
  <c r="L178" i="9"/>
  <c r="N178" i="9" s="1"/>
  <c r="L179" i="9"/>
  <c r="L180" i="9"/>
  <c r="N180" i="9" s="1"/>
  <c r="L181" i="9"/>
  <c r="N181" i="9" s="1"/>
  <c r="L182" i="9"/>
  <c r="L183" i="9"/>
  <c r="L184" i="9"/>
  <c r="L185" i="9"/>
  <c r="L186" i="9"/>
  <c r="N186" i="9" s="1"/>
  <c r="L187" i="9"/>
  <c r="L188" i="9"/>
  <c r="N188" i="9" s="1"/>
  <c r="L189" i="9"/>
  <c r="N189" i="9" s="1"/>
  <c r="L190" i="9"/>
  <c r="L191" i="9"/>
  <c r="N191" i="9" s="1"/>
  <c r="L192" i="9"/>
  <c r="L193" i="9"/>
  <c r="L194" i="9"/>
  <c r="L195" i="9"/>
  <c r="L196" i="9"/>
  <c r="N196" i="9" s="1"/>
  <c r="L197" i="9"/>
  <c r="N197" i="9" s="1"/>
  <c r="L198" i="9"/>
  <c r="L199" i="9"/>
  <c r="L200" i="9"/>
  <c r="N200" i="9" s="1"/>
  <c r="L201" i="9"/>
  <c r="L202" i="9"/>
  <c r="N202" i="9" s="1"/>
  <c r="L203" i="9"/>
  <c r="L204" i="9"/>
  <c r="N204" i="9" s="1"/>
  <c r="L205" i="9"/>
  <c r="N205" i="9" s="1"/>
  <c r="L206" i="9"/>
  <c r="L207" i="9"/>
  <c r="L208" i="9"/>
  <c r="L209" i="9"/>
  <c r="L210" i="9"/>
  <c r="N210" i="9" s="1"/>
  <c r="L211" i="9"/>
  <c r="L212" i="9"/>
  <c r="N212" i="9" s="1"/>
  <c r="L5" i="9"/>
  <c r="N5" i="9" s="1"/>
  <c r="K6" i="9"/>
  <c r="K7" i="9"/>
  <c r="K8" i="9"/>
  <c r="K9" i="9"/>
  <c r="K10" i="9"/>
  <c r="K11" i="9"/>
  <c r="M11" i="9" s="1"/>
  <c r="K12" i="9"/>
  <c r="M12" i="9" s="1"/>
  <c r="K13" i="9"/>
  <c r="M13" i="9" s="1"/>
  <c r="P13" i="9" s="1"/>
  <c r="K14" i="9"/>
  <c r="K15" i="9"/>
  <c r="K16" i="9"/>
  <c r="K17" i="9"/>
  <c r="K18" i="9"/>
  <c r="K19" i="9"/>
  <c r="M19" i="9" s="1"/>
  <c r="K20" i="9"/>
  <c r="M20" i="9" s="1"/>
  <c r="K21" i="9"/>
  <c r="M21" i="9" s="1"/>
  <c r="P21" i="9" s="1"/>
  <c r="S21" i="9" s="1"/>
  <c r="K22" i="9"/>
  <c r="K23" i="9"/>
  <c r="K24" i="9"/>
  <c r="K25" i="9"/>
  <c r="K26" i="9"/>
  <c r="K27" i="9"/>
  <c r="M27" i="9" s="1"/>
  <c r="K28" i="9"/>
  <c r="M28" i="9" s="1"/>
  <c r="K29" i="9"/>
  <c r="M29" i="9" s="1"/>
  <c r="P29" i="9" s="1"/>
  <c r="K30" i="9"/>
  <c r="K31" i="9"/>
  <c r="K32" i="9"/>
  <c r="K33" i="9"/>
  <c r="K34" i="9"/>
  <c r="K35" i="9"/>
  <c r="M35" i="9" s="1"/>
  <c r="K36" i="9"/>
  <c r="M36" i="9" s="1"/>
  <c r="K37" i="9"/>
  <c r="M37" i="9" s="1"/>
  <c r="P37" i="9" s="1"/>
  <c r="K38" i="9"/>
  <c r="K39" i="9"/>
  <c r="K40" i="9"/>
  <c r="K41" i="9"/>
  <c r="K42" i="9"/>
  <c r="K43" i="9"/>
  <c r="M43" i="9" s="1"/>
  <c r="K44" i="9"/>
  <c r="M44" i="9" s="1"/>
  <c r="K45" i="9"/>
  <c r="K46" i="9"/>
  <c r="K47" i="9"/>
  <c r="K48" i="9"/>
  <c r="K49" i="9"/>
  <c r="K50" i="9"/>
  <c r="K51" i="9"/>
  <c r="M51" i="9" s="1"/>
  <c r="K52" i="9"/>
  <c r="M52" i="9" s="1"/>
  <c r="K53" i="9"/>
  <c r="M53" i="9" s="1"/>
  <c r="P53" i="9" s="1"/>
  <c r="K54" i="9"/>
  <c r="K55" i="9"/>
  <c r="K56" i="9"/>
  <c r="K57" i="9"/>
  <c r="K58" i="9"/>
  <c r="K59" i="9"/>
  <c r="M59" i="9" s="1"/>
  <c r="K60" i="9"/>
  <c r="M60" i="9" s="1"/>
  <c r="K61" i="9"/>
  <c r="M61" i="9" s="1"/>
  <c r="P61" i="9" s="1"/>
  <c r="K62" i="9"/>
  <c r="K63" i="9"/>
  <c r="K64" i="9"/>
  <c r="K65" i="9"/>
  <c r="K66" i="9"/>
  <c r="K67" i="9"/>
  <c r="M67" i="9" s="1"/>
  <c r="K68" i="9"/>
  <c r="M68" i="9" s="1"/>
  <c r="K69" i="9"/>
  <c r="M69" i="9" s="1"/>
  <c r="P69" i="9" s="1"/>
  <c r="K70" i="9"/>
  <c r="K71" i="9"/>
  <c r="K72" i="9"/>
  <c r="K73" i="9"/>
  <c r="K74" i="9"/>
  <c r="K75" i="9"/>
  <c r="M75" i="9" s="1"/>
  <c r="K76" i="9"/>
  <c r="M76" i="9" s="1"/>
  <c r="K77" i="9"/>
  <c r="M77" i="9" s="1"/>
  <c r="P77" i="9" s="1"/>
  <c r="K78" i="9"/>
  <c r="K79" i="9"/>
  <c r="K80" i="9"/>
  <c r="K81" i="9"/>
  <c r="K82" i="9"/>
  <c r="K83" i="9"/>
  <c r="M83" i="9" s="1"/>
  <c r="K84" i="9"/>
  <c r="M84" i="9" s="1"/>
  <c r="K85" i="9"/>
  <c r="M85" i="9" s="1"/>
  <c r="P85" i="9" s="1"/>
  <c r="K86" i="9"/>
  <c r="K87" i="9"/>
  <c r="K88" i="9"/>
  <c r="M88" i="9" s="1"/>
  <c r="K89" i="9"/>
  <c r="K90" i="9"/>
  <c r="K91" i="9"/>
  <c r="M91" i="9" s="1"/>
  <c r="K92" i="9"/>
  <c r="M92" i="9" s="1"/>
  <c r="K93" i="9"/>
  <c r="M93" i="9" s="1"/>
  <c r="P93" i="9" s="1"/>
  <c r="K94" i="9"/>
  <c r="K95" i="9"/>
  <c r="K96" i="9"/>
  <c r="K97" i="9"/>
  <c r="K98" i="9"/>
  <c r="K99" i="9"/>
  <c r="M99" i="9" s="1"/>
  <c r="K100" i="9"/>
  <c r="M100" i="9" s="1"/>
  <c r="K101" i="9"/>
  <c r="M101" i="9" s="1"/>
  <c r="P101" i="9" s="1"/>
  <c r="K102" i="9"/>
  <c r="K103" i="9"/>
  <c r="K104" i="9"/>
  <c r="M104" i="9" s="1"/>
  <c r="K105" i="9"/>
  <c r="K106" i="9"/>
  <c r="K107" i="9"/>
  <c r="M107" i="9" s="1"/>
  <c r="K108" i="9"/>
  <c r="M108" i="9" s="1"/>
  <c r="K109" i="9"/>
  <c r="M109" i="9" s="1"/>
  <c r="P109" i="9" s="1"/>
  <c r="K110" i="9"/>
  <c r="K111" i="9"/>
  <c r="K112" i="9"/>
  <c r="M112" i="9" s="1"/>
  <c r="K113" i="9"/>
  <c r="K114" i="9"/>
  <c r="K115" i="9"/>
  <c r="M115" i="9" s="1"/>
  <c r="K116" i="9"/>
  <c r="M116" i="9" s="1"/>
  <c r="K117" i="9"/>
  <c r="M117" i="9" s="1"/>
  <c r="P117" i="9" s="1"/>
  <c r="K118" i="9"/>
  <c r="K119" i="9"/>
  <c r="K120" i="9"/>
  <c r="K121" i="9"/>
  <c r="K122" i="9"/>
  <c r="K123" i="9"/>
  <c r="M123" i="9" s="1"/>
  <c r="K124" i="9"/>
  <c r="M124" i="9" s="1"/>
  <c r="K125" i="9"/>
  <c r="M125" i="9" s="1"/>
  <c r="P125" i="9" s="1"/>
  <c r="K126" i="9"/>
  <c r="K127" i="9"/>
  <c r="K128" i="9"/>
  <c r="M128" i="9" s="1"/>
  <c r="K129" i="9"/>
  <c r="K130" i="9"/>
  <c r="K131" i="9"/>
  <c r="M131" i="9" s="1"/>
  <c r="K132" i="9"/>
  <c r="M132" i="9" s="1"/>
  <c r="K133" i="9"/>
  <c r="M133" i="9" s="1"/>
  <c r="P133" i="9" s="1"/>
  <c r="K134" i="9"/>
  <c r="K135" i="9"/>
  <c r="K136" i="9"/>
  <c r="M136" i="9" s="1"/>
  <c r="K137" i="9"/>
  <c r="K138" i="9"/>
  <c r="K139" i="9"/>
  <c r="K140" i="9"/>
  <c r="M140" i="9" s="1"/>
  <c r="K141" i="9"/>
  <c r="M141" i="9" s="1"/>
  <c r="P141" i="9" s="1"/>
  <c r="K142" i="9"/>
  <c r="K143" i="9"/>
  <c r="K144" i="9"/>
  <c r="K145" i="9"/>
  <c r="K146" i="9"/>
  <c r="K147" i="9"/>
  <c r="K148" i="9"/>
  <c r="M148" i="9" s="1"/>
  <c r="K149" i="9"/>
  <c r="M149" i="9" s="1"/>
  <c r="P149" i="9" s="1"/>
  <c r="K150" i="9"/>
  <c r="K151" i="9"/>
  <c r="K152" i="9"/>
  <c r="K153" i="9"/>
  <c r="K154" i="9"/>
  <c r="K155" i="9"/>
  <c r="M155" i="9" s="1"/>
  <c r="K156" i="9"/>
  <c r="M156" i="9" s="1"/>
  <c r="K157" i="9"/>
  <c r="M157" i="9" s="1"/>
  <c r="P157" i="9" s="1"/>
  <c r="K158" i="9"/>
  <c r="M158" i="9" s="1"/>
  <c r="K159" i="9"/>
  <c r="K160" i="9"/>
  <c r="K161" i="9"/>
  <c r="K162" i="9"/>
  <c r="K163" i="9"/>
  <c r="M163" i="9" s="1"/>
  <c r="K164" i="9"/>
  <c r="M164" i="9" s="1"/>
  <c r="K165" i="9"/>
  <c r="M165" i="9" s="1"/>
  <c r="P165" i="9" s="1"/>
  <c r="K166" i="9"/>
  <c r="K167" i="9"/>
  <c r="K168" i="9"/>
  <c r="M168" i="9" s="1"/>
  <c r="K169" i="9"/>
  <c r="K170" i="9"/>
  <c r="K171" i="9"/>
  <c r="M171" i="9" s="1"/>
  <c r="K172" i="9"/>
  <c r="M172" i="9" s="1"/>
  <c r="K173" i="9"/>
  <c r="M173" i="9" s="1"/>
  <c r="K174" i="9"/>
  <c r="K175" i="9"/>
  <c r="K176" i="9"/>
  <c r="K177" i="9"/>
  <c r="K178" i="9"/>
  <c r="K179" i="9"/>
  <c r="M179" i="9" s="1"/>
  <c r="K180" i="9"/>
  <c r="M180" i="9" s="1"/>
  <c r="K181" i="9"/>
  <c r="M181" i="9" s="1"/>
  <c r="P181" i="9" s="1"/>
  <c r="K182" i="9"/>
  <c r="M182" i="9" s="1"/>
  <c r="P182" i="9" s="1"/>
  <c r="K183" i="9"/>
  <c r="K184" i="9"/>
  <c r="K185" i="9"/>
  <c r="K186" i="9"/>
  <c r="K187" i="9"/>
  <c r="M187" i="9" s="1"/>
  <c r="K188" i="9"/>
  <c r="M188" i="9" s="1"/>
  <c r="K189" i="9"/>
  <c r="M189" i="9" s="1"/>
  <c r="K190" i="9"/>
  <c r="K191" i="9"/>
  <c r="K192" i="9"/>
  <c r="K193" i="9"/>
  <c r="M193" i="9" s="1"/>
  <c r="K194" i="9"/>
  <c r="K195" i="9"/>
  <c r="M195" i="9" s="1"/>
  <c r="K196" i="9"/>
  <c r="M196" i="9" s="1"/>
  <c r="K197" i="9"/>
  <c r="M197" i="9" s="1"/>
  <c r="K198" i="9"/>
  <c r="K199" i="9"/>
  <c r="K200" i="9"/>
  <c r="M200" i="9" s="1"/>
  <c r="K201" i="9"/>
  <c r="K202" i="9"/>
  <c r="K203" i="9"/>
  <c r="K204" i="9"/>
  <c r="M204" i="9" s="1"/>
  <c r="K205" i="9"/>
  <c r="M205" i="9" s="1"/>
  <c r="P205" i="9" s="1"/>
  <c r="K206" i="9"/>
  <c r="M206" i="9" s="1"/>
  <c r="P206" i="9" s="1"/>
  <c r="K207" i="9"/>
  <c r="K208" i="9"/>
  <c r="K209" i="9"/>
  <c r="K210" i="9"/>
  <c r="M210" i="9" s="1"/>
  <c r="K211" i="9"/>
  <c r="M211" i="9" s="1"/>
  <c r="K212" i="9"/>
  <c r="M212" i="9" s="1"/>
  <c r="K5" i="9"/>
  <c r="M5" i="9" s="1"/>
  <c r="N7" i="9"/>
  <c r="N8" i="9"/>
  <c r="N9" i="9"/>
  <c r="N10" i="9"/>
  <c r="N11" i="9"/>
  <c r="N14" i="9"/>
  <c r="N15" i="9"/>
  <c r="N16" i="9"/>
  <c r="N17" i="9"/>
  <c r="N19" i="9"/>
  <c r="N22" i="9"/>
  <c r="N24" i="9"/>
  <c r="N25" i="9"/>
  <c r="N27" i="9"/>
  <c r="N30" i="9"/>
  <c r="N32" i="9"/>
  <c r="N33" i="9"/>
  <c r="N34" i="9"/>
  <c r="N35" i="9"/>
  <c r="N38" i="9"/>
  <c r="N40" i="9"/>
  <c r="N41" i="9"/>
  <c r="N43" i="9"/>
  <c r="N46" i="9"/>
  <c r="N48" i="9"/>
  <c r="N49" i="9"/>
  <c r="N51" i="9"/>
  <c r="N54" i="9"/>
  <c r="N55" i="9"/>
  <c r="N56" i="9"/>
  <c r="N57" i="9"/>
  <c r="N59" i="9"/>
  <c r="N62" i="9"/>
  <c r="U62" i="9" s="1"/>
  <c r="N64" i="9"/>
  <c r="N65" i="9"/>
  <c r="N67" i="9"/>
  <c r="N70" i="9"/>
  <c r="N71" i="9"/>
  <c r="N72" i="9"/>
  <c r="N73" i="9"/>
  <c r="N74" i="9"/>
  <c r="N75" i="9"/>
  <c r="N78" i="9"/>
  <c r="N79" i="9"/>
  <c r="N80" i="9"/>
  <c r="N81" i="9"/>
  <c r="N82" i="9"/>
  <c r="N83" i="9"/>
  <c r="N86" i="9"/>
  <c r="N88" i="9"/>
  <c r="N89" i="9"/>
  <c r="N91" i="9"/>
  <c r="N94" i="9"/>
  <c r="N96" i="9"/>
  <c r="N97" i="9"/>
  <c r="N99" i="9"/>
  <c r="N102" i="9"/>
  <c r="N104" i="9"/>
  <c r="N105" i="9"/>
  <c r="N107" i="9"/>
  <c r="N109" i="9"/>
  <c r="N110" i="9"/>
  <c r="N112" i="9"/>
  <c r="N113" i="9"/>
  <c r="N114" i="9"/>
  <c r="N115" i="9"/>
  <c r="N118" i="9"/>
  <c r="N119" i="9"/>
  <c r="N120" i="9"/>
  <c r="N121" i="9"/>
  <c r="N123" i="9"/>
  <c r="N126" i="9"/>
  <c r="N128" i="9"/>
  <c r="N129" i="9"/>
  <c r="N131" i="9"/>
  <c r="N134" i="9"/>
  <c r="N135" i="9"/>
  <c r="N137" i="9"/>
  <c r="N139" i="9"/>
  <c r="N142" i="9"/>
  <c r="N143" i="9"/>
  <c r="N144" i="9"/>
  <c r="N145" i="9"/>
  <c r="N147" i="9"/>
  <c r="N150" i="9"/>
  <c r="N152" i="9"/>
  <c r="N153" i="9"/>
  <c r="N154" i="9"/>
  <c r="N155" i="9"/>
  <c r="N158" i="9"/>
  <c r="N160" i="9"/>
  <c r="N161" i="9"/>
  <c r="N163" i="9"/>
  <c r="N166" i="9"/>
  <c r="N168" i="9"/>
  <c r="N169" i="9"/>
  <c r="N171" i="9"/>
  <c r="N174" i="9"/>
  <c r="N176" i="9"/>
  <c r="N177" i="9"/>
  <c r="N179" i="9"/>
  <c r="N182" i="9"/>
  <c r="N183" i="9"/>
  <c r="N184" i="9"/>
  <c r="N185" i="9"/>
  <c r="N187" i="9"/>
  <c r="N190" i="9"/>
  <c r="N192" i="9"/>
  <c r="N193" i="9"/>
  <c r="N194" i="9"/>
  <c r="N195" i="9"/>
  <c r="N198" i="9"/>
  <c r="N199" i="9"/>
  <c r="N201" i="9"/>
  <c r="N203" i="9"/>
  <c r="N206" i="9"/>
  <c r="N207" i="9"/>
  <c r="N208" i="9"/>
  <c r="N209" i="9"/>
  <c r="N211" i="9"/>
  <c r="M209" i="9"/>
  <c r="M208" i="9"/>
  <c r="M207" i="9"/>
  <c r="M203" i="9"/>
  <c r="M202" i="9"/>
  <c r="M201" i="9"/>
  <c r="M199" i="9"/>
  <c r="M198" i="9"/>
  <c r="M194" i="9"/>
  <c r="M192" i="9"/>
  <c r="M191" i="9"/>
  <c r="M190" i="9"/>
  <c r="M186" i="9"/>
  <c r="M185" i="9"/>
  <c r="M184" i="9"/>
  <c r="M183" i="9"/>
  <c r="P183" i="9" s="1"/>
  <c r="M178" i="9"/>
  <c r="M177" i="9"/>
  <c r="M176" i="9"/>
  <c r="M175" i="9"/>
  <c r="P175" i="9" s="1"/>
  <c r="M174" i="9"/>
  <c r="M170" i="9"/>
  <c r="M169" i="9"/>
  <c r="M167" i="9"/>
  <c r="M166" i="9"/>
  <c r="M162" i="9"/>
  <c r="M161" i="9"/>
  <c r="M160" i="9"/>
  <c r="M159" i="9"/>
  <c r="P159" i="9" s="1"/>
  <c r="M154" i="9"/>
  <c r="M153" i="9"/>
  <c r="M152" i="9"/>
  <c r="M151" i="9"/>
  <c r="P151" i="9" s="1"/>
  <c r="M150" i="9"/>
  <c r="M147" i="9"/>
  <c r="M146" i="9"/>
  <c r="M145" i="9"/>
  <c r="M144" i="9"/>
  <c r="M143" i="9"/>
  <c r="P143" i="9" s="1"/>
  <c r="M142" i="9"/>
  <c r="P142" i="9" s="1"/>
  <c r="M139" i="9"/>
  <c r="M138" i="9"/>
  <c r="M137" i="9"/>
  <c r="M135" i="9"/>
  <c r="P135" i="9" s="1"/>
  <c r="M134" i="9"/>
  <c r="P134" i="9" s="1"/>
  <c r="M130" i="9"/>
  <c r="M129" i="9"/>
  <c r="M127" i="9"/>
  <c r="P127" i="9" s="1"/>
  <c r="M126" i="9"/>
  <c r="P126" i="9" s="1"/>
  <c r="M122" i="9"/>
  <c r="M121" i="9"/>
  <c r="M120" i="9"/>
  <c r="M119" i="9"/>
  <c r="P119" i="9" s="1"/>
  <c r="M118" i="9"/>
  <c r="P118" i="9" s="1"/>
  <c r="M114" i="9"/>
  <c r="M113" i="9"/>
  <c r="M111" i="9"/>
  <c r="P111" i="9" s="1"/>
  <c r="M110" i="9"/>
  <c r="P110" i="9" s="1"/>
  <c r="M106" i="9"/>
  <c r="M105" i="9"/>
  <c r="M103" i="9"/>
  <c r="P103" i="9" s="1"/>
  <c r="M102" i="9"/>
  <c r="P102" i="9" s="1"/>
  <c r="M98" i="9"/>
  <c r="M97" i="9"/>
  <c r="M96" i="9"/>
  <c r="M95" i="9"/>
  <c r="P95" i="9" s="1"/>
  <c r="M94" i="9"/>
  <c r="P94" i="9" s="1"/>
  <c r="M90" i="9"/>
  <c r="M89" i="9"/>
  <c r="M87" i="9"/>
  <c r="P87" i="9" s="1"/>
  <c r="M86" i="9"/>
  <c r="P86" i="9" s="1"/>
  <c r="S86" i="9" s="1"/>
  <c r="M82" i="9"/>
  <c r="M81" i="9"/>
  <c r="M80" i="9"/>
  <c r="M79" i="9"/>
  <c r="P79" i="9" s="1"/>
  <c r="M78" i="9"/>
  <c r="P78" i="9" s="1"/>
  <c r="M74" i="9"/>
  <c r="M73" i="9"/>
  <c r="M72" i="9"/>
  <c r="M71" i="9"/>
  <c r="P71" i="9" s="1"/>
  <c r="M70" i="9"/>
  <c r="P70" i="9" s="1"/>
  <c r="M66" i="9"/>
  <c r="M65" i="9"/>
  <c r="M64" i="9"/>
  <c r="M63" i="9"/>
  <c r="P63" i="9" s="1"/>
  <c r="M62" i="9"/>
  <c r="P62" i="9" s="1"/>
  <c r="M58" i="9"/>
  <c r="M57" i="9"/>
  <c r="M56" i="9"/>
  <c r="M55" i="9"/>
  <c r="P55" i="9" s="1"/>
  <c r="M54" i="9"/>
  <c r="P54" i="9" s="1"/>
  <c r="M50" i="9"/>
  <c r="M49" i="9"/>
  <c r="M48" i="9"/>
  <c r="M47" i="9"/>
  <c r="P47" i="9" s="1"/>
  <c r="M46" i="9"/>
  <c r="P46" i="9" s="1"/>
  <c r="M45" i="9"/>
  <c r="P45" i="9" s="1"/>
  <c r="M42" i="9"/>
  <c r="M41" i="9"/>
  <c r="M40" i="9"/>
  <c r="M39" i="9"/>
  <c r="P39" i="9" s="1"/>
  <c r="M38" i="9"/>
  <c r="P38" i="9" s="1"/>
  <c r="M34" i="9"/>
  <c r="M33" i="9"/>
  <c r="M32" i="9"/>
  <c r="M31" i="9"/>
  <c r="P31" i="9" s="1"/>
  <c r="M30" i="9"/>
  <c r="P30" i="9" s="1"/>
  <c r="M26" i="9"/>
  <c r="M25" i="9"/>
  <c r="M24" i="9"/>
  <c r="M23" i="9"/>
  <c r="P23" i="9" s="1"/>
  <c r="M22" i="9"/>
  <c r="P22" i="9" s="1"/>
  <c r="S22" i="9" s="1"/>
  <c r="M18" i="9"/>
  <c r="M17" i="9"/>
  <c r="M16" i="9"/>
  <c r="M15" i="9"/>
  <c r="P15" i="9" s="1"/>
  <c r="M14" i="9"/>
  <c r="P14" i="9" s="1"/>
  <c r="M10" i="9"/>
  <c r="M9" i="9"/>
  <c r="M8" i="9"/>
  <c r="M7" i="9"/>
  <c r="P7" i="9" s="1"/>
  <c r="M6" i="9"/>
  <c r="P6" i="9" s="1"/>
  <c r="B2" i="9"/>
  <c r="O5" i="9" s="1"/>
  <c r="B11" i="12" l="1"/>
  <c r="B15" i="12" s="1"/>
  <c r="O189" i="9"/>
  <c r="O149" i="9"/>
  <c r="R149" i="9" s="1"/>
  <c r="O125" i="9"/>
  <c r="R125" i="9" s="1"/>
  <c r="O61" i="9"/>
  <c r="R61" i="9" s="1"/>
  <c r="O13" i="9"/>
  <c r="T13" i="9" s="1"/>
  <c r="O212" i="9"/>
  <c r="O204" i="9"/>
  <c r="O196" i="9"/>
  <c r="O188" i="9"/>
  <c r="O180" i="9"/>
  <c r="O172" i="9"/>
  <c r="O164" i="9"/>
  <c r="O156" i="9"/>
  <c r="O148" i="9"/>
  <c r="O140" i="9"/>
  <c r="O132" i="9"/>
  <c r="O124" i="9"/>
  <c r="O116" i="9"/>
  <c r="O108" i="9"/>
  <c r="O100" i="9"/>
  <c r="O92" i="9"/>
  <c r="O84" i="9"/>
  <c r="O76" i="9"/>
  <c r="O68" i="9"/>
  <c r="O60" i="9"/>
  <c r="O52" i="9"/>
  <c r="O44" i="9"/>
  <c r="O36" i="9"/>
  <c r="O28" i="9"/>
  <c r="O20" i="9"/>
  <c r="O12" i="9"/>
  <c r="O165" i="9"/>
  <c r="R165" i="9" s="1"/>
  <c r="O117" i="9"/>
  <c r="T117" i="9" s="1"/>
  <c r="O29" i="9"/>
  <c r="R29" i="9" s="1"/>
  <c r="O211" i="9"/>
  <c r="O203" i="9"/>
  <c r="O195" i="9"/>
  <c r="O187" i="9"/>
  <c r="O179" i="9"/>
  <c r="O171" i="9"/>
  <c r="O163" i="9"/>
  <c r="O155" i="9"/>
  <c r="O147" i="9"/>
  <c r="O139" i="9"/>
  <c r="O131" i="9"/>
  <c r="O123" i="9"/>
  <c r="O115" i="9"/>
  <c r="O107" i="9"/>
  <c r="O99" i="9"/>
  <c r="O91" i="9"/>
  <c r="O83" i="9"/>
  <c r="O75" i="9"/>
  <c r="O67" i="9"/>
  <c r="O59" i="9"/>
  <c r="O51" i="9"/>
  <c r="O43" i="9"/>
  <c r="O35" i="9"/>
  <c r="O27" i="9"/>
  <c r="O19" i="9"/>
  <c r="O11" i="9"/>
  <c r="O173" i="9"/>
  <c r="O141" i="9"/>
  <c r="R141" i="9" s="1"/>
  <c r="O101" i="9"/>
  <c r="R101" i="9" s="1"/>
  <c r="O85" i="9"/>
  <c r="T85" i="9" s="1"/>
  <c r="O21" i="9"/>
  <c r="R21" i="9" s="1"/>
  <c r="O210" i="9"/>
  <c r="O202" i="9"/>
  <c r="O194" i="9"/>
  <c r="O186" i="9"/>
  <c r="O178" i="9"/>
  <c r="O170" i="9"/>
  <c r="O162" i="9"/>
  <c r="O154" i="9"/>
  <c r="O146" i="9"/>
  <c r="O138" i="9"/>
  <c r="O130" i="9"/>
  <c r="O122" i="9"/>
  <c r="R122" i="9" s="1"/>
  <c r="O114" i="9"/>
  <c r="O106" i="9"/>
  <c r="O98" i="9"/>
  <c r="O90" i="9"/>
  <c r="O82" i="9"/>
  <c r="O74" i="9"/>
  <c r="O66" i="9"/>
  <c r="O58" i="9"/>
  <c r="O50" i="9"/>
  <c r="O42" i="9"/>
  <c r="O34" i="9"/>
  <c r="O26" i="9"/>
  <c r="O18" i="9"/>
  <c r="O10" i="9"/>
  <c r="O209" i="9"/>
  <c r="O201" i="9"/>
  <c r="O193" i="9"/>
  <c r="O185" i="9"/>
  <c r="O177" i="9"/>
  <c r="O169" i="9"/>
  <c r="O161" i="9"/>
  <c r="O153" i="9"/>
  <c r="O145" i="9"/>
  <c r="O137" i="9"/>
  <c r="O129" i="9"/>
  <c r="O121" i="9"/>
  <c r="O113" i="9"/>
  <c r="O105" i="9"/>
  <c r="O97" i="9"/>
  <c r="O89" i="9"/>
  <c r="O81" i="9"/>
  <c r="O73" i="9"/>
  <c r="O65" i="9"/>
  <c r="O57" i="9"/>
  <c r="O49" i="9"/>
  <c r="O41" i="9"/>
  <c r="R41" i="9" s="1"/>
  <c r="O33" i="9"/>
  <c r="O25" i="9"/>
  <c r="O17" i="9"/>
  <c r="O9" i="9"/>
  <c r="O181" i="9"/>
  <c r="R181" i="9" s="1"/>
  <c r="O133" i="9"/>
  <c r="T133" i="9" s="1"/>
  <c r="O37" i="9"/>
  <c r="T37" i="9" s="1"/>
  <c r="O208" i="9"/>
  <c r="O200" i="9"/>
  <c r="O192" i="9"/>
  <c r="O184" i="9"/>
  <c r="O176" i="9"/>
  <c r="O168" i="9"/>
  <c r="O160" i="9"/>
  <c r="O152" i="9"/>
  <c r="O144" i="9"/>
  <c r="O136" i="9"/>
  <c r="O128" i="9"/>
  <c r="O120" i="9"/>
  <c r="O112" i="9"/>
  <c r="O104" i="9"/>
  <c r="O96" i="9"/>
  <c r="O88" i="9"/>
  <c r="R88" i="9" s="1"/>
  <c r="O80" i="9"/>
  <c r="O72" i="9"/>
  <c r="O64" i="9"/>
  <c r="O56" i="9"/>
  <c r="O48" i="9"/>
  <c r="O40" i="9"/>
  <c r="O32" i="9"/>
  <c r="O24" i="9"/>
  <c r="O16" i="9"/>
  <c r="O8" i="9"/>
  <c r="O197" i="9"/>
  <c r="R197" i="9" s="1"/>
  <c r="O93" i="9"/>
  <c r="T93" i="9" s="1"/>
  <c r="O69" i="9"/>
  <c r="T69" i="9" s="1"/>
  <c r="O45" i="9"/>
  <c r="R45" i="9" s="1"/>
  <c r="O207" i="9"/>
  <c r="O199" i="9"/>
  <c r="T199" i="9" s="1"/>
  <c r="O191" i="9"/>
  <c r="O183" i="9"/>
  <c r="T183" i="9" s="1"/>
  <c r="O175" i="9"/>
  <c r="O167" i="9"/>
  <c r="O159" i="9"/>
  <c r="T159" i="9" s="1"/>
  <c r="O151" i="9"/>
  <c r="T151" i="9" s="1"/>
  <c r="O143" i="9"/>
  <c r="T143" i="9" s="1"/>
  <c r="O135" i="9"/>
  <c r="R135" i="9" s="1"/>
  <c r="O127" i="9"/>
  <c r="T127" i="9" s="1"/>
  <c r="O119" i="9"/>
  <c r="T119" i="9" s="1"/>
  <c r="O111" i="9"/>
  <c r="R111" i="9" s="1"/>
  <c r="O103" i="9"/>
  <c r="T103" i="9" s="1"/>
  <c r="O95" i="9"/>
  <c r="R95" i="9" s="1"/>
  <c r="O87" i="9"/>
  <c r="R87" i="9" s="1"/>
  <c r="O79" i="9"/>
  <c r="T79" i="9" s="1"/>
  <c r="O71" i="9"/>
  <c r="R71" i="9" s="1"/>
  <c r="O63" i="9"/>
  <c r="R63" i="9" s="1"/>
  <c r="O55" i="9"/>
  <c r="R55" i="9" s="1"/>
  <c r="O47" i="9"/>
  <c r="T47" i="9" s="1"/>
  <c r="O39" i="9"/>
  <c r="T39" i="9" s="1"/>
  <c r="O31" i="9"/>
  <c r="T31" i="9" s="1"/>
  <c r="O23" i="9"/>
  <c r="R23" i="9" s="1"/>
  <c r="O15" i="9"/>
  <c r="T15" i="9" s="1"/>
  <c r="O7" i="9"/>
  <c r="O205" i="9"/>
  <c r="R205" i="9" s="1"/>
  <c r="O157" i="9"/>
  <c r="T157" i="9" s="1"/>
  <c r="O109" i="9"/>
  <c r="T109" i="9" s="1"/>
  <c r="O77" i="9"/>
  <c r="R77" i="9" s="1"/>
  <c r="O53" i="9"/>
  <c r="R53" i="9" s="1"/>
  <c r="O206" i="9"/>
  <c r="T206" i="9" s="1"/>
  <c r="O198" i="9"/>
  <c r="T198" i="9" s="1"/>
  <c r="O190" i="9"/>
  <c r="O182" i="9"/>
  <c r="R182" i="9" s="1"/>
  <c r="O174" i="9"/>
  <c r="O166" i="9"/>
  <c r="O158" i="9"/>
  <c r="O150" i="9"/>
  <c r="O142" i="9"/>
  <c r="T142" i="9" s="1"/>
  <c r="O134" i="9"/>
  <c r="T134" i="9" s="1"/>
  <c r="O126" i="9"/>
  <c r="T126" i="9" s="1"/>
  <c r="O118" i="9"/>
  <c r="T118" i="9" s="1"/>
  <c r="O110" i="9"/>
  <c r="R110" i="9" s="1"/>
  <c r="O102" i="9"/>
  <c r="T102" i="9" s="1"/>
  <c r="O94" i="9"/>
  <c r="T94" i="9" s="1"/>
  <c r="O86" i="9"/>
  <c r="T86" i="9" s="1"/>
  <c r="O78" i="9"/>
  <c r="T78" i="9" s="1"/>
  <c r="O70" i="9"/>
  <c r="T70" i="9" s="1"/>
  <c r="O62" i="9"/>
  <c r="T62" i="9" s="1"/>
  <c r="O54" i="9"/>
  <c r="R54" i="9" s="1"/>
  <c r="O46" i="9"/>
  <c r="R46" i="9" s="1"/>
  <c r="O38" i="9"/>
  <c r="T38" i="9" s="1"/>
  <c r="O30" i="9"/>
  <c r="T30" i="9" s="1"/>
  <c r="O22" i="9"/>
  <c r="R22" i="9" s="1"/>
  <c r="O14" i="9"/>
  <c r="R14" i="9" s="1"/>
  <c r="O6" i="9"/>
  <c r="U94" i="9"/>
  <c r="U149" i="9"/>
  <c r="S61" i="9"/>
  <c r="U125" i="9"/>
  <c r="U102" i="9"/>
  <c r="U22" i="9"/>
  <c r="P174" i="9"/>
  <c r="U157" i="9"/>
  <c r="U135" i="9"/>
  <c r="U45" i="9"/>
  <c r="U21" i="9"/>
  <c r="P158" i="9"/>
  <c r="Q158" i="9" s="1"/>
  <c r="U134" i="9"/>
  <c r="P122" i="9"/>
  <c r="U122" i="9" s="1"/>
  <c r="U143" i="9"/>
  <c r="U133" i="9"/>
  <c r="U54" i="9"/>
  <c r="P88" i="9"/>
  <c r="U142" i="9"/>
  <c r="U109" i="9"/>
  <c r="U53" i="9"/>
  <c r="P199" i="9"/>
  <c r="P74" i="9"/>
  <c r="U74" i="9" s="1"/>
  <c r="P198" i="9"/>
  <c r="S198" i="9" s="1"/>
  <c r="P41" i="9"/>
  <c r="U93" i="9"/>
  <c r="U14" i="9"/>
  <c r="P197" i="9"/>
  <c r="U13" i="9"/>
  <c r="S175" i="9"/>
  <c r="S183" i="9"/>
  <c r="P187" i="9"/>
  <c r="P163" i="9"/>
  <c r="P131" i="9"/>
  <c r="U131" i="9" s="1"/>
  <c r="P115" i="9"/>
  <c r="P11" i="9"/>
  <c r="P210" i="9"/>
  <c r="U210" i="9" s="1"/>
  <c r="S182" i="9"/>
  <c r="P171" i="9"/>
  <c r="P83" i="9"/>
  <c r="P67" i="9"/>
  <c r="U67" i="9" s="1"/>
  <c r="P51" i="9"/>
  <c r="Q51" i="9" s="1"/>
  <c r="P35" i="9"/>
  <c r="Q35" i="9" s="1"/>
  <c r="P19" i="9"/>
  <c r="U19" i="9" s="1"/>
  <c r="S159" i="9"/>
  <c r="S205" i="9"/>
  <c r="S165" i="9"/>
  <c r="S206" i="9"/>
  <c r="P212" i="9"/>
  <c r="U212" i="9" s="1"/>
  <c r="P204" i="9"/>
  <c r="U204" i="9" s="1"/>
  <c r="P196" i="9"/>
  <c r="U196" i="9" s="1"/>
  <c r="P188" i="9"/>
  <c r="P180" i="9"/>
  <c r="Q180" i="9" s="1"/>
  <c r="P172" i="9"/>
  <c r="Q172" i="9" s="1"/>
  <c r="P164" i="9"/>
  <c r="P148" i="9"/>
  <c r="P140" i="9"/>
  <c r="P132" i="9"/>
  <c r="P124" i="9"/>
  <c r="U124" i="9" s="1"/>
  <c r="P116" i="9"/>
  <c r="P108" i="9"/>
  <c r="U108" i="9" s="1"/>
  <c r="P100" i="9"/>
  <c r="Q100" i="9" s="1"/>
  <c r="P92" i="9"/>
  <c r="U92" i="9" s="1"/>
  <c r="P84" i="9"/>
  <c r="P76" i="9"/>
  <c r="Q76" i="9" s="1"/>
  <c r="P68" i="9"/>
  <c r="Q68" i="9" s="1"/>
  <c r="P60" i="9"/>
  <c r="U60" i="9" s="1"/>
  <c r="P52" i="9"/>
  <c r="P44" i="9"/>
  <c r="U44" i="9" s="1"/>
  <c r="P36" i="9"/>
  <c r="Q36" i="9" s="1"/>
  <c r="P28" i="9"/>
  <c r="U28" i="9" s="1"/>
  <c r="P20" i="9"/>
  <c r="P12" i="9"/>
  <c r="U12" i="9" s="1"/>
  <c r="P195" i="9"/>
  <c r="U195" i="9" s="1"/>
  <c r="P179" i="9"/>
  <c r="P155" i="9"/>
  <c r="Q155" i="9" s="1"/>
  <c r="P123" i="9"/>
  <c r="P107" i="9"/>
  <c r="U107" i="9" s="1"/>
  <c r="P99" i="9"/>
  <c r="P91" i="9"/>
  <c r="P75" i="9"/>
  <c r="P59" i="9"/>
  <c r="Q59" i="9" s="1"/>
  <c r="P43" i="9"/>
  <c r="U43" i="9" s="1"/>
  <c r="P27" i="9"/>
  <c r="S15" i="9"/>
  <c r="S39" i="9"/>
  <c r="S71" i="9"/>
  <c r="S87" i="9"/>
  <c r="P112" i="9"/>
  <c r="P129" i="9"/>
  <c r="P193" i="9"/>
  <c r="U83" i="9"/>
  <c r="U55" i="9"/>
  <c r="P48" i="9"/>
  <c r="U48" i="9" s="1"/>
  <c r="P64" i="9"/>
  <c r="U64" i="9" s="1"/>
  <c r="P80" i="9"/>
  <c r="Q80" i="9" s="1"/>
  <c r="P96" i="9"/>
  <c r="P130" i="9"/>
  <c r="U130" i="9" s="1"/>
  <c r="P176" i="9"/>
  <c r="P156" i="9"/>
  <c r="U156" i="9" s="1"/>
  <c r="P9" i="9"/>
  <c r="U9" i="9" s="1"/>
  <c r="P65" i="9"/>
  <c r="U65" i="9" s="1"/>
  <c r="P97" i="9"/>
  <c r="U11" i="9"/>
  <c r="P66" i="9"/>
  <c r="U66" i="9" s="1"/>
  <c r="P82" i="9"/>
  <c r="Q82" i="9" s="1"/>
  <c r="P98" i="9"/>
  <c r="U98" i="9" s="1"/>
  <c r="S142" i="9"/>
  <c r="S151" i="9"/>
  <c r="P160" i="9"/>
  <c r="P169" i="9"/>
  <c r="P178" i="9"/>
  <c r="U182" i="9"/>
  <c r="U112" i="9"/>
  <c r="U101" i="9"/>
  <c r="U71" i="9"/>
  <c r="U61" i="9"/>
  <c r="U41" i="9"/>
  <c r="U30" i="9"/>
  <c r="T175" i="9"/>
  <c r="P191" i="9"/>
  <c r="U191" i="9" s="1"/>
  <c r="P173" i="9"/>
  <c r="U173" i="9" s="1"/>
  <c r="P106" i="9"/>
  <c r="U106" i="9" s="1"/>
  <c r="P72" i="9"/>
  <c r="P18" i="9"/>
  <c r="S23" i="9"/>
  <c r="S47" i="9"/>
  <c r="S79" i="9"/>
  <c r="P211" i="9"/>
  <c r="U165" i="9"/>
  <c r="U115" i="9"/>
  <c r="S41" i="9"/>
  <c r="P203" i="9"/>
  <c r="Q203" i="9" s="1"/>
  <c r="P33" i="9"/>
  <c r="P114" i="9"/>
  <c r="U114" i="9" s="1"/>
  <c r="P186" i="9"/>
  <c r="U186" i="9" s="1"/>
  <c r="U193" i="9"/>
  <c r="P150" i="9"/>
  <c r="P120" i="9"/>
  <c r="P73" i="9"/>
  <c r="P24" i="9"/>
  <c r="Q24" i="9" s="1"/>
  <c r="P34" i="9"/>
  <c r="U34" i="9" s="1"/>
  <c r="S143" i="9"/>
  <c r="P170" i="9"/>
  <c r="U181" i="9"/>
  <c r="U120" i="9"/>
  <c r="U110" i="9"/>
  <c r="U99" i="9"/>
  <c r="U79" i="9"/>
  <c r="U70" i="9"/>
  <c r="U29" i="9"/>
  <c r="U175" i="9"/>
  <c r="U159" i="9"/>
  <c r="U151" i="9"/>
  <c r="U127" i="9"/>
  <c r="U111" i="9"/>
  <c r="U103" i="9"/>
  <c r="U95" i="9"/>
  <c r="U87" i="9"/>
  <c r="U63" i="9"/>
  <c r="U47" i="9"/>
  <c r="U39" i="9"/>
  <c r="U31" i="9"/>
  <c r="U23" i="9"/>
  <c r="P5" i="9"/>
  <c r="P190" i="9"/>
  <c r="U190" i="9" s="1"/>
  <c r="P167" i="9"/>
  <c r="U167" i="9" s="1"/>
  <c r="P147" i="9"/>
  <c r="U147" i="9" s="1"/>
  <c r="P105" i="9"/>
  <c r="P58" i="9"/>
  <c r="P17" i="9"/>
  <c r="U17" i="9" s="1"/>
  <c r="S31" i="9"/>
  <c r="S63" i="9"/>
  <c r="S103" i="9"/>
  <c r="P184" i="9"/>
  <c r="U205" i="9"/>
  <c r="U176" i="9"/>
  <c r="U24" i="9"/>
  <c r="S181" i="9"/>
  <c r="S88" i="9"/>
  <c r="P16" i="9"/>
  <c r="Q16" i="9" s="1"/>
  <c r="P113" i="9"/>
  <c r="U113" i="9" s="1"/>
  <c r="P139" i="9"/>
  <c r="U139" i="9" s="1"/>
  <c r="P185" i="9"/>
  <c r="U185" i="9" s="1"/>
  <c r="U163" i="9"/>
  <c r="U33" i="9"/>
  <c r="P121" i="9"/>
  <c r="P40" i="9"/>
  <c r="U40" i="9" s="1"/>
  <c r="P25" i="9"/>
  <c r="P49" i="9"/>
  <c r="Q49" i="9" s="1"/>
  <c r="P177" i="9"/>
  <c r="Q177" i="9" s="1"/>
  <c r="U91" i="9"/>
  <c r="S197" i="9"/>
  <c r="P10" i="9"/>
  <c r="Q10" i="9" s="1"/>
  <c r="P26" i="9"/>
  <c r="U26" i="9" s="1"/>
  <c r="P50" i="9"/>
  <c r="U50" i="9" s="1"/>
  <c r="P152" i="9"/>
  <c r="U152" i="9" s="1"/>
  <c r="P161" i="9"/>
  <c r="U161" i="9" s="1"/>
  <c r="S117" i="9"/>
  <c r="S126" i="9"/>
  <c r="S135" i="9"/>
  <c r="P144" i="9"/>
  <c r="P153" i="9"/>
  <c r="P162" i="9"/>
  <c r="Q162" i="9" s="1"/>
  <c r="P208" i="9"/>
  <c r="U208" i="9" s="1"/>
  <c r="U199" i="9"/>
  <c r="U179" i="9"/>
  <c r="U169" i="9"/>
  <c r="U158" i="9"/>
  <c r="U129" i="9"/>
  <c r="U119" i="9"/>
  <c r="U88" i="9"/>
  <c r="U78" i="9"/>
  <c r="U69" i="9"/>
  <c r="U38" i="9"/>
  <c r="U27" i="9"/>
  <c r="P207" i="9"/>
  <c r="Q207" i="9" s="1"/>
  <c r="P189" i="9"/>
  <c r="U189" i="9" s="1"/>
  <c r="P166" i="9"/>
  <c r="Q166" i="9" s="1"/>
  <c r="P138" i="9"/>
  <c r="P104" i="9"/>
  <c r="Q104" i="9" s="1"/>
  <c r="P57" i="9"/>
  <c r="Q57" i="9" s="1"/>
  <c r="S37" i="9"/>
  <c r="S45" i="9"/>
  <c r="S53" i="9"/>
  <c r="S69" i="9"/>
  <c r="S77" i="9"/>
  <c r="S85" i="9"/>
  <c r="S93" i="9"/>
  <c r="S101" i="9"/>
  <c r="S110" i="9"/>
  <c r="S118" i="9"/>
  <c r="S127" i="9"/>
  <c r="P145" i="9"/>
  <c r="Q145" i="9" s="1"/>
  <c r="P154" i="9"/>
  <c r="P200" i="9"/>
  <c r="U200" i="9" s="1"/>
  <c r="P209" i="9"/>
  <c r="U198" i="9"/>
  <c r="U118" i="9"/>
  <c r="U97" i="9"/>
  <c r="U86" i="9"/>
  <c r="U77" i="9"/>
  <c r="U37" i="9"/>
  <c r="U7" i="9"/>
  <c r="P137" i="9"/>
  <c r="Q137" i="9" s="1"/>
  <c r="P90" i="9"/>
  <c r="U90" i="9" s="1"/>
  <c r="P56" i="9"/>
  <c r="U56" i="9" s="1"/>
  <c r="S134" i="9"/>
  <c r="S7" i="9"/>
  <c r="S55" i="9"/>
  <c r="S95" i="9"/>
  <c r="P202" i="9"/>
  <c r="U202" i="9" s="1"/>
  <c r="U144" i="9"/>
  <c r="S199" i="9"/>
  <c r="S122" i="9"/>
  <c r="P8" i="9"/>
  <c r="U8" i="9" s="1"/>
  <c r="P32" i="9"/>
  <c r="U32" i="9" s="1"/>
  <c r="P194" i="9"/>
  <c r="Q194" i="9" s="1"/>
  <c r="U184" i="9"/>
  <c r="U73" i="9"/>
  <c r="P81" i="9"/>
  <c r="U81" i="9" s="1"/>
  <c r="P168" i="9"/>
  <c r="U168" i="9" s="1"/>
  <c r="U183" i="9"/>
  <c r="S13" i="9"/>
  <c r="S29" i="9"/>
  <c r="S14" i="9"/>
  <c r="S30" i="9"/>
  <c r="S38" i="9"/>
  <c r="S46" i="9"/>
  <c r="S54" i="9"/>
  <c r="S62" i="9"/>
  <c r="S70" i="9"/>
  <c r="S78" i="9"/>
  <c r="S94" i="9"/>
  <c r="S102" i="9"/>
  <c r="T111" i="9"/>
  <c r="S111" i="9"/>
  <c r="S119" i="9"/>
  <c r="P128" i="9"/>
  <c r="Q128" i="9" s="1"/>
  <c r="P146" i="9"/>
  <c r="P192" i="9"/>
  <c r="U192" i="9" s="1"/>
  <c r="P201" i="9"/>
  <c r="U201" i="9" s="1"/>
  <c r="U206" i="9"/>
  <c r="U197" i="9"/>
  <c r="U166" i="9"/>
  <c r="U126" i="9"/>
  <c r="U117" i="9"/>
  <c r="U96" i="9"/>
  <c r="U85" i="9"/>
  <c r="U75" i="9"/>
  <c r="U46" i="9"/>
  <c r="U25" i="9"/>
  <c r="U15" i="9"/>
  <c r="S157" i="9"/>
  <c r="S149" i="9"/>
  <c r="S141" i="9"/>
  <c r="S133" i="9"/>
  <c r="S109" i="9"/>
  <c r="P136" i="9"/>
  <c r="U136" i="9" s="1"/>
  <c r="P89" i="9"/>
  <c r="U89" i="9" s="1"/>
  <c r="P42" i="9"/>
  <c r="S125" i="9"/>
  <c r="U164" i="9"/>
  <c r="U148" i="9"/>
  <c r="U116" i="9"/>
  <c r="U84" i="9"/>
  <c r="U52" i="9"/>
  <c r="U20" i="9"/>
  <c r="Q193" i="9"/>
  <c r="Q208" i="9"/>
  <c r="Q200" i="9"/>
  <c r="Q192" i="9"/>
  <c r="Q157" i="9"/>
  <c r="Q11" i="9"/>
  <c r="Q199" i="9"/>
  <c r="Q168" i="9"/>
  <c r="Q151" i="9"/>
  <c r="Q206" i="9"/>
  <c r="Q198" i="9"/>
  <c r="Q190" i="9"/>
  <c r="Q205" i="9"/>
  <c r="Q197" i="9"/>
  <c r="Q186" i="9"/>
  <c r="Q165" i="9"/>
  <c r="Q83" i="9"/>
  <c r="Q212" i="9"/>
  <c r="Q196" i="9"/>
  <c r="Q14" i="9"/>
  <c r="Q211" i="9"/>
  <c r="Q173" i="9"/>
  <c r="Q210" i="9"/>
  <c r="Q13" i="9"/>
  <c r="Q133" i="9"/>
  <c r="Q125" i="9"/>
  <c r="Q117" i="9"/>
  <c r="Q93" i="9"/>
  <c r="Q69" i="9"/>
  <c r="Q61" i="9"/>
  <c r="Q29" i="9"/>
  <c r="Q116" i="9"/>
  <c r="Q84" i="9"/>
  <c r="Q52" i="9"/>
  <c r="Q44" i="9"/>
  <c r="Q20" i="9"/>
  <c r="Q53" i="9"/>
  <c r="Q123" i="9"/>
  <c r="Q91" i="9"/>
  <c r="Q43" i="9"/>
  <c r="Q27" i="9"/>
  <c r="Q19" i="9"/>
  <c r="Q109" i="9"/>
  <c r="Q148" i="9"/>
  <c r="Q187" i="9"/>
  <c r="Q115" i="9"/>
  <c r="Q75" i="9"/>
  <c r="Q101" i="9"/>
  <c r="Q37" i="9"/>
  <c r="Q181" i="9"/>
  <c r="Q124" i="9"/>
  <c r="Q179" i="9"/>
  <c r="Q139" i="9"/>
  <c r="Q188" i="9"/>
  <c r="Q132" i="9"/>
  <c r="Q163" i="9"/>
  <c r="N6" i="9"/>
  <c r="S6" i="9" s="1"/>
  <c r="Q149" i="9"/>
  <c r="Q85" i="9"/>
  <c r="Q21" i="9"/>
  <c r="Q141" i="9"/>
  <c r="Q161" i="9"/>
  <c r="Q97" i="9"/>
  <c r="Q33" i="9"/>
  <c r="Q178" i="9"/>
  <c r="Q154" i="9"/>
  <c r="Q138" i="9"/>
  <c r="Q122" i="9"/>
  <c r="Q114" i="9"/>
  <c r="Q106" i="9"/>
  <c r="Q98" i="9"/>
  <c r="Q90" i="9"/>
  <c r="Q66" i="9"/>
  <c r="Q58" i="9"/>
  <c r="Q50" i="9"/>
  <c r="Q34" i="9"/>
  <c r="Q26" i="9"/>
  <c r="Q18" i="9"/>
  <c r="Q176" i="9"/>
  <c r="Q88" i="9"/>
  <c r="Q64" i="9"/>
  <c r="Q40" i="9"/>
  <c r="Q185" i="9"/>
  <c r="Q153" i="9"/>
  <c r="Q129" i="9"/>
  <c r="Q121" i="9"/>
  <c r="Q105" i="9"/>
  <c r="Q89" i="9"/>
  <c r="Q73" i="9"/>
  <c r="Q65" i="9"/>
  <c r="Q41" i="9"/>
  <c r="Q25" i="9"/>
  <c r="Q143" i="9"/>
  <c r="Q127" i="9"/>
  <c r="Q79" i="9"/>
  <c r="Q63" i="9"/>
  <c r="Q15" i="9"/>
  <c r="Q184" i="9"/>
  <c r="Q144" i="9"/>
  <c r="Q136" i="9"/>
  <c r="Q120" i="9"/>
  <c r="Q96" i="9"/>
  <c r="Q72" i="9"/>
  <c r="Q32" i="9"/>
  <c r="Q183" i="9"/>
  <c r="Q175" i="9"/>
  <c r="Q135" i="9"/>
  <c r="Q119" i="9"/>
  <c r="Q111" i="9"/>
  <c r="Q103" i="9"/>
  <c r="Q71" i="9"/>
  <c r="Q55" i="9"/>
  <c r="Q47" i="9"/>
  <c r="Q39" i="9"/>
  <c r="Q7" i="9"/>
  <c r="Q182" i="9"/>
  <c r="Q142" i="9"/>
  <c r="Q134" i="9"/>
  <c r="Q126" i="9"/>
  <c r="Q118" i="9"/>
  <c r="Q110" i="9"/>
  <c r="Q102" i="9"/>
  <c r="Q94" i="9"/>
  <c r="Q86" i="9"/>
  <c r="Q78" i="9"/>
  <c r="Q70" i="9"/>
  <c r="Q62" i="9"/>
  <c r="Q54" i="9"/>
  <c r="Q46" i="9"/>
  <c r="Q38" i="9"/>
  <c r="Q30" i="9"/>
  <c r="Q22" i="9"/>
  <c r="R109" i="9" l="1"/>
  <c r="R69" i="9"/>
  <c r="T41" i="9"/>
  <c r="T174" i="9"/>
  <c r="R13" i="9"/>
  <c r="T55" i="9"/>
  <c r="T149" i="9"/>
  <c r="R119" i="9"/>
  <c r="T182" i="9"/>
  <c r="R94" i="9"/>
  <c r="R93" i="9"/>
  <c r="T101" i="9"/>
  <c r="T122" i="9"/>
  <c r="T181" i="9"/>
  <c r="R78" i="9"/>
  <c r="O213" i="9"/>
  <c r="B8" i="12" s="1"/>
  <c r="R199" i="9"/>
  <c r="T7" i="9"/>
  <c r="T165" i="9"/>
  <c r="R62" i="9"/>
  <c r="R198" i="9"/>
  <c r="R70" i="9"/>
  <c r="T197" i="9"/>
  <c r="R159" i="9"/>
  <c r="T77" i="9"/>
  <c r="R134" i="9"/>
  <c r="T88" i="9"/>
  <c r="R206" i="9"/>
  <c r="T14" i="9"/>
  <c r="R6" i="9"/>
  <c r="R142" i="9"/>
  <c r="R86" i="9"/>
  <c r="U35" i="9"/>
  <c r="R118" i="9"/>
  <c r="Q156" i="9"/>
  <c r="Q189" i="9"/>
  <c r="Q202" i="9"/>
  <c r="T6" i="9"/>
  <c r="R117" i="9"/>
  <c r="U80" i="9"/>
  <c r="Q12" i="9"/>
  <c r="R30" i="9"/>
  <c r="R74" i="9"/>
  <c r="R37" i="9"/>
  <c r="T63" i="9"/>
  <c r="R157" i="9"/>
  <c r="T135" i="9"/>
  <c r="R151" i="9"/>
  <c r="U180" i="9"/>
  <c r="T95" i="9"/>
  <c r="T23" i="9"/>
  <c r="S74" i="9"/>
  <c r="Q74" i="9"/>
  <c r="T74" i="9"/>
  <c r="U49" i="9"/>
  <c r="R7" i="9"/>
  <c r="Q67" i="9"/>
  <c r="Q195" i="9"/>
  <c r="Q152" i="9"/>
  <c r="U36" i="9"/>
  <c r="R31" i="9"/>
  <c r="R158" i="9"/>
  <c r="T71" i="9"/>
  <c r="T205" i="9"/>
  <c r="Q48" i="9"/>
  <c r="Q107" i="9"/>
  <c r="Q9" i="9"/>
  <c r="R38" i="9"/>
  <c r="T61" i="9"/>
  <c r="U59" i="9"/>
  <c r="S158" i="9"/>
  <c r="R133" i="9"/>
  <c r="T53" i="9"/>
  <c r="T158" i="9"/>
  <c r="U174" i="9"/>
  <c r="Q147" i="9"/>
  <c r="T141" i="9"/>
  <c r="T54" i="9"/>
  <c r="T29" i="9"/>
  <c r="S174" i="9"/>
  <c r="R47" i="9"/>
  <c r="R103" i="9"/>
  <c r="R183" i="9"/>
  <c r="Q131" i="9"/>
  <c r="R174" i="9"/>
  <c r="Q174" i="9"/>
  <c r="Q8" i="9"/>
  <c r="T22" i="9"/>
  <c r="T110" i="9"/>
  <c r="T128" i="9"/>
  <c r="S128" i="9"/>
  <c r="R128" i="9"/>
  <c r="R102" i="9"/>
  <c r="T137" i="9"/>
  <c r="S137" i="9"/>
  <c r="U137" i="9"/>
  <c r="R137" i="9"/>
  <c r="R127" i="9"/>
  <c r="R85" i="9"/>
  <c r="T207" i="9"/>
  <c r="S207" i="9"/>
  <c r="R207" i="9"/>
  <c r="R50" i="9"/>
  <c r="S50" i="9"/>
  <c r="T50" i="9"/>
  <c r="S25" i="9"/>
  <c r="R25" i="9"/>
  <c r="T25" i="9"/>
  <c r="T16" i="9"/>
  <c r="S16" i="9"/>
  <c r="R16" i="9"/>
  <c r="T105" i="9"/>
  <c r="S105" i="9"/>
  <c r="R105" i="9"/>
  <c r="S203" i="9"/>
  <c r="R203" i="9"/>
  <c r="T203" i="9"/>
  <c r="T160" i="9"/>
  <c r="S160" i="9"/>
  <c r="R160" i="9"/>
  <c r="T156" i="9"/>
  <c r="S156" i="9"/>
  <c r="R156" i="9"/>
  <c r="T96" i="9"/>
  <c r="S96" i="9"/>
  <c r="R96" i="9"/>
  <c r="R15" i="9"/>
  <c r="T36" i="9"/>
  <c r="S36" i="9"/>
  <c r="R36" i="9"/>
  <c r="T68" i="9"/>
  <c r="S68" i="9"/>
  <c r="R68" i="9"/>
  <c r="T100" i="9"/>
  <c r="S100" i="9"/>
  <c r="R100" i="9"/>
  <c r="T132" i="9"/>
  <c r="S132" i="9"/>
  <c r="R132" i="9"/>
  <c r="T172" i="9"/>
  <c r="S172" i="9"/>
  <c r="R172" i="9"/>
  <c r="T204" i="9"/>
  <c r="S204" i="9"/>
  <c r="R204" i="9"/>
  <c r="T35" i="9"/>
  <c r="R35" i="9"/>
  <c r="S35" i="9"/>
  <c r="R171" i="9"/>
  <c r="T171" i="9"/>
  <c r="S171" i="9"/>
  <c r="R146" i="9"/>
  <c r="T146" i="9"/>
  <c r="S146" i="9"/>
  <c r="T145" i="9"/>
  <c r="S145" i="9"/>
  <c r="R145" i="9"/>
  <c r="Q113" i="9"/>
  <c r="Q81" i="9"/>
  <c r="T8" i="9"/>
  <c r="S8" i="9"/>
  <c r="R8" i="9"/>
  <c r="T209" i="9"/>
  <c r="S209" i="9"/>
  <c r="R209" i="9"/>
  <c r="T21" i="9"/>
  <c r="T40" i="9"/>
  <c r="S40" i="9"/>
  <c r="R40" i="9"/>
  <c r="U203" i="9"/>
  <c r="R147" i="9"/>
  <c r="T147" i="9"/>
  <c r="S147" i="9"/>
  <c r="T24" i="9"/>
  <c r="S24" i="9"/>
  <c r="R24" i="9"/>
  <c r="T33" i="9"/>
  <c r="R33" i="9"/>
  <c r="S33" i="9"/>
  <c r="R79" i="9"/>
  <c r="R211" i="9"/>
  <c r="T211" i="9"/>
  <c r="S211" i="9"/>
  <c r="U10" i="9"/>
  <c r="R82" i="9"/>
  <c r="T82" i="9"/>
  <c r="S82" i="9"/>
  <c r="U211" i="9"/>
  <c r="T87" i="9"/>
  <c r="T75" i="9"/>
  <c r="S75" i="9"/>
  <c r="R75" i="9"/>
  <c r="R123" i="9"/>
  <c r="T123" i="9"/>
  <c r="S123" i="9"/>
  <c r="T11" i="9"/>
  <c r="S11" i="9"/>
  <c r="R11" i="9"/>
  <c r="R187" i="9"/>
  <c r="T187" i="9"/>
  <c r="S187" i="9"/>
  <c r="Q6" i="9"/>
  <c r="U6" i="9"/>
  <c r="Q56" i="9"/>
  <c r="Q130" i="9"/>
  <c r="R143" i="9"/>
  <c r="U16" i="9"/>
  <c r="T208" i="9"/>
  <c r="S208" i="9"/>
  <c r="R208" i="9"/>
  <c r="T121" i="9"/>
  <c r="S121" i="9"/>
  <c r="R121" i="9"/>
  <c r="T167" i="9"/>
  <c r="S167" i="9"/>
  <c r="R167" i="9"/>
  <c r="U209" i="9"/>
  <c r="T73" i="9"/>
  <c r="S73" i="9"/>
  <c r="R73" i="9"/>
  <c r="R18" i="9"/>
  <c r="T18" i="9"/>
  <c r="S18" i="9"/>
  <c r="T97" i="9"/>
  <c r="R97" i="9"/>
  <c r="S97" i="9"/>
  <c r="T80" i="9"/>
  <c r="S80" i="9"/>
  <c r="R80" i="9"/>
  <c r="S193" i="9"/>
  <c r="R193" i="9"/>
  <c r="T193" i="9"/>
  <c r="T155" i="9"/>
  <c r="R155" i="9"/>
  <c r="S155" i="9"/>
  <c r="T12" i="9"/>
  <c r="S12" i="9"/>
  <c r="R12" i="9"/>
  <c r="T44" i="9"/>
  <c r="S44" i="9"/>
  <c r="R44" i="9"/>
  <c r="T76" i="9"/>
  <c r="S76" i="9"/>
  <c r="R76" i="9"/>
  <c r="T108" i="9"/>
  <c r="S108" i="9"/>
  <c r="R108" i="9"/>
  <c r="T140" i="9"/>
  <c r="S140" i="9"/>
  <c r="R140" i="9"/>
  <c r="T180" i="9"/>
  <c r="S180" i="9"/>
  <c r="R180" i="9"/>
  <c r="T212" i="9"/>
  <c r="S212" i="9"/>
  <c r="R212" i="9"/>
  <c r="T51" i="9"/>
  <c r="S51" i="9"/>
  <c r="R51" i="9"/>
  <c r="T168" i="9"/>
  <c r="S168" i="9"/>
  <c r="R168" i="9"/>
  <c r="U123" i="9"/>
  <c r="R202" i="9"/>
  <c r="S202" i="9"/>
  <c r="T202" i="9"/>
  <c r="U128" i="9"/>
  <c r="T200" i="9"/>
  <c r="S200" i="9"/>
  <c r="R200" i="9"/>
  <c r="T45" i="9"/>
  <c r="R57" i="9"/>
  <c r="S57" i="9"/>
  <c r="T57" i="9"/>
  <c r="T161" i="9"/>
  <c r="S161" i="9"/>
  <c r="R161" i="9"/>
  <c r="R26" i="9"/>
  <c r="S26" i="9"/>
  <c r="T26" i="9"/>
  <c r="T185" i="9"/>
  <c r="S185" i="9"/>
  <c r="R185" i="9"/>
  <c r="S190" i="9"/>
  <c r="R190" i="9"/>
  <c r="T190" i="9"/>
  <c r="U76" i="9"/>
  <c r="T120" i="9"/>
  <c r="S120" i="9"/>
  <c r="R120" i="9"/>
  <c r="T72" i="9"/>
  <c r="S72" i="9"/>
  <c r="R72" i="9"/>
  <c r="U121" i="9"/>
  <c r="R66" i="9"/>
  <c r="T66" i="9"/>
  <c r="S66" i="9"/>
  <c r="S129" i="9"/>
  <c r="R129" i="9"/>
  <c r="T129" i="9"/>
  <c r="U18" i="9"/>
  <c r="T27" i="9"/>
  <c r="S27" i="9"/>
  <c r="R27" i="9"/>
  <c r="T91" i="9"/>
  <c r="R91" i="9"/>
  <c r="S91" i="9"/>
  <c r="T148" i="9"/>
  <c r="S148" i="9"/>
  <c r="R148" i="9"/>
  <c r="U105" i="9"/>
  <c r="U146" i="9"/>
  <c r="S115" i="9"/>
  <c r="R115" i="9"/>
  <c r="T115" i="9"/>
  <c r="R42" i="9"/>
  <c r="S42" i="9"/>
  <c r="T42" i="9"/>
  <c r="T125" i="9"/>
  <c r="T201" i="9"/>
  <c r="R201" i="9"/>
  <c r="S201" i="9"/>
  <c r="Q146" i="9"/>
  <c r="Q201" i="9"/>
  <c r="S89" i="9"/>
  <c r="R89" i="9"/>
  <c r="T89" i="9"/>
  <c r="U145" i="9"/>
  <c r="T46" i="9"/>
  <c r="T81" i="9"/>
  <c r="S81" i="9"/>
  <c r="R81" i="9"/>
  <c r="R154" i="9"/>
  <c r="S154" i="9"/>
  <c r="T154" i="9"/>
  <c r="T104" i="9"/>
  <c r="S104" i="9"/>
  <c r="R104" i="9"/>
  <c r="R162" i="9"/>
  <c r="T162" i="9"/>
  <c r="S162" i="9"/>
  <c r="R126" i="9"/>
  <c r="T152" i="9"/>
  <c r="S152" i="9"/>
  <c r="R152" i="9"/>
  <c r="R10" i="9"/>
  <c r="S10" i="9"/>
  <c r="T10" i="9"/>
  <c r="T177" i="9"/>
  <c r="S177" i="9"/>
  <c r="R177" i="9"/>
  <c r="R5" i="9"/>
  <c r="T5" i="9"/>
  <c r="S5" i="9"/>
  <c r="Q5" i="9"/>
  <c r="R170" i="9"/>
  <c r="T170" i="9"/>
  <c r="S170" i="9"/>
  <c r="R150" i="9"/>
  <c r="T150" i="9"/>
  <c r="S150" i="9"/>
  <c r="U104" i="9"/>
  <c r="R106" i="9"/>
  <c r="T106" i="9"/>
  <c r="S106" i="9"/>
  <c r="S178" i="9"/>
  <c r="R178" i="9"/>
  <c r="T178" i="9"/>
  <c r="T65" i="9"/>
  <c r="S65" i="9"/>
  <c r="R65" i="9"/>
  <c r="T64" i="9"/>
  <c r="S64" i="9"/>
  <c r="R64" i="9"/>
  <c r="T20" i="9"/>
  <c r="S20" i="9"/>
  <c r="R20" i="9"/>
  <c r="T52" i="9"/>
  <c r="S52" i="9"/>
  <c r="R52" i="9"/>
  <c r="T84" i="9"/>
  <c r="S84" i="9"/>
  <c r="R84" i="9"/>
  <c r="T116" i="9"/>
  <c r="S116" i="9"/>
  <c r="R116" i="9"/>
  <c r="T188" i="9"/>
  <c r="S188" i="9"/>
  <c r="R188" i="9"/>
  <c r="T67" i="9"/>
  <c r="R67" i="9"/>
  <c r="S67" i="9"/>
  <c r="Q170" i="9"/>
  <c r="Q209" i="9"/>
  <c r="U172" i="9"/>
  <c r="T136" i="9"/>
  <c r="S136" i="9"/>
  <c r="R136" i="9"/>
  <c r="U132" i="9"/>
  <c r="U155" i="9"/>
  <c r="T192" i="9"/>
  <c r="S192" i="9"/>
  <c r="R192" i="9"/>
  <c r="U187" i="9"/>
  <c r="R138" i="9"/>
  <c r="S138" i="9"/>
  <c r="T138" i="9"/>
  <c r="S153" i="9"/>
  <c r="T153" i="9"/>
  <c r="R153" i="9"/>
  <c r="T49" i="9"/>
  <c r="R49" i="9"/>
  <c r="S49" i="9"/>
  <c r="S139" i="9"/>
  <c r="R139" i="9"/>
  <c r="T139" i="9"/>
  <c r="T184" i="9"/>
  <c r="S184" i="9"/>
  <c r="R184" i="9"/>
  <c r="U153" i="9"/>
  <c r="T173" i="9"/>
  <c r="R173" i="9"/>
  <c r="S173" i="9"/>
  <c r="U51" i="9"/>
  <c r="U150" i="9"/>
  <c r="U140" i="9"/>
  <c r="T176" i="9"/>
  <c r="S176" i="9"/>
  <c r="R176" i="9"/>
  <c r="T112" i="9"/>
  <c r="S112" i="9"/>
  <c r="R112" i="9"/>
  <c r="R39" i="9"/>
  <c r="U42" i="9"/>
  <c r="U138" i="9"/>
  <c r="T43" i="9"/>
  <c r="S43" i="9"/>
  <c r="R43" i="9"/>
  <c r="R99" i="9"/>
  <c r="S99" i="9"/>
  <c r="T99" i="9"/>
  <c r="S179" i="9"/>
  <c r="R179" i="9"/>
  <c r="T179" i="9"/>
  <c r="T131" i="9"/>
  <c r="R131" i="9"/>
  <c r="S131" i="9"/>
  <c r="R175" i="9"/>
  <c r="T194" i="9"/>
  <c r="R194" i="9"/>
  <c r="S194" i="9"/>
  <c r="T56" i="9"/>
  <c r="S56" i="9"/>
  <c r="R56" i="9"/>
  <c r="S166" i="9"/>
  <c r="R166" i="9"/>
  <c r="T166" i="9"/>
  <c r="T113" i="9"/>
  <c r="S113" i="9"/>
  <c r="R113" i="9"/>
  <c r="T17" i="9"/>
  <c r="S17" i="9"/>
  <c r="R17" i="9"/>
  <c r="R186" i="9"/>
  <c r="T186" i="9"/>
  <c r="S186" i="9"/>
  <c r="U194" i="9"/>
  <c r="T191" i="9"/>
  <c r="S191" i="9"/>
  <c r="R191" i="9"/>
  <c r="T169" i="9"/>
  <c r="S169" i="9"/>
  <c r="R169" i="9"/>
  <c r="R9" i="9"/>
  <c r="S9" i="9"/>
  <c r="T9" i="9"/>
  <c r="T130" i="9"/>
  <c r="R130" i="9"/>
  <c r="S130" i="9"/>
  <c r="T48" i="9"/>
  <c r="S48" i="9"/>
  <c r="R48" i="9"/>
  <c r="U162" i="9"/>
  <c r="T28" i="9"/>
  <c r="S28" i="9"/>
  <c r="R28" i="9"/>
  <c r="T60" i="9"/>
  <c r="S60" i="9"/>
  <c r="R60" i="9"/>
  <c r="T92" i="9"/>
  <c r="S92" i="9"/>
  <c r="R92" i="9"/>
  <c r="T124" i="9"/>
  <c r="S124" i="9"/>
  <c r="R124" i="9"/>
  <c r="T164" i="9"/>
  <c r="S164" i="9"/>
  <c r="R164" i="9"/>
  <c r="T196" i="9"/>
  <c r="S196" i="9"/>
  <c r="R196" i="9"/>
  <c r="T19" i="9"/>
  <c r="R19" i="9"/>
  <c r="S19" i="9"/>
  <c r="R83" i="9"/>
  <c r="T83" i="9"/>
  <c r="S83" i="9"/>
  <c r="R210" i="9"/>
  <c r="T210" i="9"/>
  <c r="S210" i="9"/>
  <c r="Q17" i="9"/>
  <c r="Q204" i="9"/>
  <c r="Q150" i="9"/>
  <c r="Q191" i="9"/>
  <c r="Q169" i="9"/>
  <c r="Q160" i="9"/>
  <c r="U100" i="9"/>
  <c r="U188" i="9"/>
  <c r="U5" i="9"/>
  <c r="U177" i="9"/>
  <c r="T32" i="9"/>
  <c r="S32" i="9"/>
  <c r="R32" i="9"/>
  <c r="R90" i="9"/>
  <c r="S90" i="9"/>
  <c r="T90" i="9"/>
  <c r="U207" i="9"/>
  <c r="R189" i="9"/>
  <c r="T189" i="9"/>
  <c r="S189" i="9"/>
  <c r="U68" i="9"/>
  <c r="T144" i="9"/>
  <c r="S144" i="9"/>
  <c r="R144" i="9"/>
  <c r="U82" i="9"/>
  <c r="R58" i="9"/>
  <c r="T58" i="9"/>
  <c r="S58" i="9"/>
  <c r="U160" i="9"/>
  <c r="R34" i="9"/>
  <c r="T34" i="9"/>
  <c r="S34" i="9"/>
  <c r="S114" i="9"/>
  <c r="R114" i="9"/>
  <c r="T114" i="9"/>
  <c r="U171" i="9"/>
  <c r="R98" i="9"/>
  <c r="T98" i="9"/>
  <c r="S98" i="9"/>
  <c r="U72" i="9"/>
  <c r="U154" i="9"/>
  <c r="U58" i="9"/>
  <c r="U178" i="9"/>
  <c r="T59" i="9"/>
  <c r="R59" i="9"/>
  <c r="S59" i="9"/>
  <c r="R107" i="9"/>
  <c r="T107" i="9"/>
  <c r="S107" i="9"/>
  <c r="T195" i="9"/>
  <c r="R195" i="9"/>
  <c r="S195" i="9"/>
  <c r="U57" i="9"/>
  <c r="U170" i="9"/>
  <c r="R163" i="9"/>
  <c r="T163" i="9"/>
  <c r="S163" i="9"/>
  <c r="Q23" i="9"/>
  <c r="Q87" i="9"/>
  <c r="Q159" i="9"/>
  <c r="Q99" i="9"/>
  <c r="Q164" i="9"/>
  <c r="Q171" i="9"/>
  <c r="Q28" i="9"/>
  <c r="Q60" i="9"/>
  <c r="Q92" i="9"/>
  <c r="Q140" i="9"/>
  <c r="Q42" i="9"/>
  <c r="Q31" i="9"/>
  <c r="Q95" i="9"/>
  <c r="Q167" i="9"/>
  <c r="Q45" i="9"/>
  <c r="Q108" i="9"/>
  <c r="Q112" i="9"/>
  <c r="Q77" i="9"/>
  <c r="B12" i="12" l="1"/>
  <c r="B14" i="12"/>
</calcChain>
</file>

<file path=xl/sharedStrings.xml><?xml version="1.0" encoding="utf-8"?>
<sst xmlns="http://schemas.openxmlformats.org/spreadsheetml/2006/main" count="5665" uniqueCount="724">
  <si>
    <t>delete_record_flag</t>
  </si>
  <si>
    <t>Delete This Row</t>
  </si>
  <si>
    <t>2</t>
  </si>
  <si>
    <t>Completed</t>
  </si>
  <si>
    <t>MS-9000 Project Kickoff</t>
  </si>
  <si>
    <t/>
  </si>
  <si>
    <t>3</t>
  </si>
  <si>
    <t>MS-9010 IFC Issued – All Disciplines</t>
  </si>
  <si>
    <t>4</t>
  </si>
  <si>
    <t>MS-9020 Compressor Delivered</t>
  </si>
  <si>
    <t>5</t>
  </si>
  <si>
    <t>Not Started</t>
  </si>
  <si>
    <t>MS-9030 Mech Completion – Plant</t>
  </si>
  <si>
    <t>6</t>
  </si>
  <si>
    <t>MS-9040 Mech Completion – Pipeline</t>
  </si>
  <si>
    <t>7</t>
  </si>
  <si>
    <t>MS-9050 Ready for Start-Up</t>
  </si>
  <si>
    <t>8</t>
  </si>
  <si>
    <t>MS-9060 First Gas</t>
  </si>
  <si>
    <t>9</t>
  </si>
  <si>
    <t>MS-9070 Performance Test Complete</t>
  </si>
  <si>
    <t>10</t>
  </si>
  <si>
    <t>MS-9080 Substantial Completion</t>
  </si>
  <si>
    <t>11</t>
  </si>
  <si>
    <t>MS-9090 Final Completion</t>
  </si>
  <si>
    <t>13</t>
  </si>
  <si>
    <t>PM-1000 Notice to Proceed</t>
  </si>
  <si>
    <t>14</t>
  </si>
  <si>
    <t>PM-1010 Controls Setup</t>
  </si>
  <si>
    <t>PM - Project Controls Lead</t>
  </si>
  <si>
    <t>15</t>
  </si>
  <si>
    <t>PM-1020 Baseline Schedule Build</t>
  </si>
  <si>
    <t>PM - Scheduler</t>
  </si>
  <si>
    <t>16</t>
  </si>
  <si>
    <t>PM-1030 Baseline Cost Load</t>
  </si>
  <si>
    <t>PM - Cost Controller</t>
  </si>
  <si>
    <t>17</t>
  </si>
  <si>
    <t>PM-1040 Baseline Approval</t>
  </si>
  <si>
    <t>PM - Project Manager</t>
  </si>
  <si>
    <t>18</t>
  </si>
  <si>
    <t>PM-1060 Change Control Setup</t>
  </si>
  <si>
    <t>19</t>
  </si>
  <si>
    <t>PM-1070 Risk Register Setup</t>
  </si>
  <si>
    <t>20</t>
  </si>
  <si>
    <t>PM-1080 Progress Measurement Plan</t>
  </si>
  <si>
    <t>23</t>
  </si>
  <si>
    <t>ENG-1100 Engineering Kickoff</t>
  </si>
  <si>
    <t>ENG - Engineering Manager</t>
  </si>
  <si>
    <t>24</t>
  </si>
  <si>
    <t>ENG-1110 Finalize Basis of Design</t>
  </si>
  <si>
    <t>ENG - Process Engineer</t>
  </si>
  <si>
    <t>25</t>
  </si>
  <si>
    <t>ENG-1120 Design Criteria</t>
  </si>
  <si>
    <t>26</t>
  </si>
  <si>
    <t>ENG-1130 Model Setup</t>
  </si>
  <si>
    <t>ENG - CAD/Designer</t>
  </si>
  <si>
    <t>27</t>
  </si>
  <si>
    <t>ENG-1140 30% Design Review</t>
  </si>
  <si>
    <t>28</t>
  </si>
  <si>
    <t>ENG-1150 60% Design Review</t>
  </si>
  <si>
    <t>29</t>
  </si>
  <si>
    <t>ENG-1160 90% Design Review</t>
  </si>
  <si>
    <t>31</t>
  </si>
  <si>
    <t>ENG-1200 PFD Development</t>
  </si>
  <si>
    <t>32</t>
  </si>
  <si>
    <t>ENG-1210 Heat &amp; Material Balance</t>
  </si>
  <si>
    <t>33</t>
  </si>
  <si>
    <t>ENG-1220 P&amp;ID Development</t>
  </si>
  <si>
    <t>34</t>
  </si>
  <si>
    <t>ENG-1230 Control Philosophy</t>
  </si>
  <si>
    <t>ENG - Instrument/Controls Engineer</t>
  </si>
  <si>
    <t>35</t>
  </si>
  <si>
    <t>ENG-1240 Relief Review</t>
  </si>
  <si>
    <t>36</t>
  </si>
  <si>
    <t>ENG-1250 Cause &amp; Effect Draft</t>
  </si>
  <si>
    <t>37</t>
  </si>
  <si>
    <t>ENG-1260 HAZOP Prep</t>
  </si>
  <si>
    <t>38</t>
  </si>
  <si>
    <t>ENG-1270 HAZOP Session</t>
  </si>
  <si>
    <t>39</t>
  </si>
  <si>
    <t>ENG-1280 HAZOP Closeout</t>
  </si>
  <si>
    <t>41</t>
  </si>
  <si>
    <t>ENG-1300 Equipment List</t>
  </si>
  <si>
    <t>ENG - Mechanical Engineer</t>
  </si>
  <si>
    <t>42</t>
  </si>
  <si>
    <t>ENG-1310 Compressor Datasheets</t>
  </si>
  <si>
    <t>43</t>
  </si>
  <si>
    <t>ENG-1320 Separator Datasheets</t>
  </si>
  <si>
    <t>44</t>
  </si>
  <si>
    <t>ENG-1330 Dehydration Datasheets</t>
  </si>
  <si>
    <t>45</t>
  </si>
  <si>
    <t>ENG-1340 Cooler Datasheets</t>
  </si>
  <si>
    <t>46</t>
  </si>
  <si>
    <t>ENG-1350 Valve List</t>
  </si>
  <si>
    <t>47</t>
  </si>
  <si>
    <t>ENG-1360 Line List</t>
  </si>
  <si>
    <t>48</t>
  </si>
  <si>
    <t>ENG-1370 Piping Classes</t>
  </si>
  <si>
    <t>49</t>
  </si>
  <si>
    <t>ENG-1380 BIM Model 30%</t>
  </si>
  <si>
    <t>50</t>
  </si>
  <si>
    <t>ENG-1390 BIM Model 60%</t>
  </si>
  <si>
    <t>51</t>
  </si>
  <si>
    <t>ENG-1400 BIM Model 90%</t>
  </si>
  <si>
    <t>52</t>
  </si>
  <si>
    <t>ENG-1410 Isometrics Issued</t>
  </si>
  <si>
    <t>53</t>
  </si>
  <si>
    <t>ENG-1420 Pipe Support Design</t>
  </si>
  <si>
    <t>54</t>
  </si>
  <si>
    <t>ENG-1430 Mech Package IFC Issued</t>
  </si>
  <si>
    <t>56</t>
  </si>
  <si>
    <t>ENG-1500 Site Survey</t>
  </si>
  <si>
    <t>ENG - Civil/Structural Engineer</t>
  </si>
  <si>
    <t>57</t>
  </si>
  <si>
    <t>ENG-1510 Geotech Review</t>
  </si>
  <si>
    <t>58</t>
  </si>
  <si>
    <t>ENG-1520 Grading Plan</t>
  </si>
  <si>
    <t>59</t>
  </si>
  <si>
    <t>ENG-1530 Foundations Design</t>
  </si>
  <si>
    <t>60</t>
  </si>
  <si>
    <t>ENG-1540 Steel Design</t>
  </si>
  <si>
    <t>61</t>
  </si>
  <si>
    <t>ENG-1550 Anchor Bolt Plans</t>
  </si>
  <si>
    <t>62</t>
  </si>
  <si>
    <t>ENG-1560 Steel Connection Details</t>
  </si>
  <si>
    <t>63</t>
  </si>
  <si>
    <t>ENG-1570 Structural IFC Issued</t>
  </si>
  <si>
    <t>65</t>
  </si>
  <si>
    <t>ENG-1600 Load Study</t>
  </si>
  <si>
    <t>ENG - Electrical Engineer</t>
  </si>
  <si>
    <t>66</t>
  </si>
  <si>
    <t>ENG-1610 Single-Line Diagrams</t>
  </si>
  <si>
    <t>67</t>
  </si>
  <si>
    <t>ENG-1620 MCC Sizing</t>
  </si>
  <si>
    <t>68</t>
  </si>
  <si>
    <t>ENG-1630 Cable Schedule</t>
  </si>
  <si>
    <t>69</t>
  </si>
  <si>
    <t>ENG-1640 Grounding Design</t>
  </si>
  <si>
    <t>70</t>
  </si>
  <si>
    <t>ENG-1650 Area Classification</t>
  </si>
  <si>
    <t>71</t>
  </si>
  <si>
    <t>ENG-1660 Substation Upgrade</t>
  </si>
  <si>
    <t>72</t>
  </si>
  <si>
    <t>ENG-1670 Electrical IFC Issued</t>
  </si>
  <si>
    <t>74</t>
  </si>
  <si>
    <t>ENG-1700 Instrument Index</t>
  </si>
  <si>
    <t>75</t>
  </si>
  <si>
    <t>ENG-1710 IO List</t>
  </si>
  <si>
    <t>76</t>
  </si>
  <si>
    <t>ENG-1720 Loop Diagrams</t>
  </si>
  <si>
    <t>77</t>
  </si>
  <si>
    <t>ENG-1730 Control Narrative</t>
  </si>
  <si>
    <t>78</t>
  </si>
  <si>
    <t>ENG-1740 Cause &amp; Effect Final</t>
  </si>
  <si>
    <t>79</t>
  </si>
  <si>
    <t>ENG-1750 DCS Architecture</t>
  </si>
  <si>
    <t>80</t>
  </si>
  <si>
    <t>ENG-1760 Controls IFC Issued</t>
  </si>
  <si>
    <t>82</t>
  </si>
  <si>
    <t>ENG-1800 Route Selection</t>
  </si>
  <si>
    <t>ENG - Pipeline Engineer</t>
  </si>
  <si>
    <t>83</t>
  </si>
  <si>
    <t>ENG-1810 Environmental Screening</t>
  </si>
  <si>
    <t>84</t>
  </si>
  <si>
    <t>ENG-1820 ROW Support</t>
  </si>
  <si>
    <t>85</t>
  </si>
  <si>
    <t>ENG-1830 Watercourse Design</t>
  </si>
  <si>
    <t>86</t>
  </si>
  <si>
    <t>ENG-1840 Wall Thickness Calc</t>
  </si>
  <si>
    <t>87</t>
  </si>
  <si>
    <t>ENG-1850 Alignment Sheets Issued</t>
  </si>
  <si>
    <t>88</t>
  </si>
  <si>
    <t>ENG-1860 Tie-In Details</t>
  </si>
  <si>
    <t>89</t>
  </si>
  <si>
    <t>ENG-1870 Pipeline IFC Issued</t>
  </si>
  <si>
    <t>91</t>
  </si>
  <si>
    <t>REG-2000 Permit Strategy</t>
  </si>
  <si>
    <t>REG - Permitting Lead</t>
  </si>
  <si>
    <t>92</t>
  </si>
  <si>
    <t>REG-2010 Submit Approvals</t>
  </si>
  <si>
    <t>93</t>
  </si>
  <si>
    <t>REG-2020 Mitigation Plan</t>
  </si>
  <si>
    <t>REG - Environmental Specialist</t>
  </si>
  <si>
    <t>94</t>
  </si>
  <si>
    <t>REG-2030 Land Access Agreements</t>
  </si>
  <si>
    <t>REG - Land Agent</t>
  </si>
  <si>
    <t>95</t>
  </si>
  <si>
    <t>REG-2040 Indigenous Engagement</t>
  </si>
  <si>
    <t>96</t>
  </si>
  <si>
    <t>REG-2050 ROW Secured</t>
  </si>
  <si>
    <t>97</t>
  </si>
  <si>
    <t>REG-2060 Permits Approved</t>
  </si>
  <si>
    <t>100</t>
  </si>
  <si>
    <t>PRO-3000 RFQ – Compressor</t>
  </si>
  <si>
    <t>PROC - Procurement Lead</t>
  </si>
  <si>
    <t>101</t>
  </si>
  <si>
    <t>PRO-3010 Tech Eval – Compressor</t>
  </si>
  <si>
    <t>102</t>
  </si>
  <si>
    <t>PRO-3020 Comm Eval – Compressor</t>
  </si>
  <si>
    <t>103</t>
  </si>
  <si>
    <t>PRO-3030 Compressor PO Award</t>
  </si>
  <si>
    <t>105</t>
  </si>
  <si>
    <t>PRO-3040 Vendor Review Cycle 1</t>
  </si>
  <si>
    <t>106</t>
  </si>
  <si>
    <t>PRO-3050 Vendor Review Cycle 2</t>
  </si>
  <si>
    <t>107</t>
  </si>
  <si>
    <t>PRO-3060 Compressor Fabrication</t>
  </si>
  <si>
    <t>MAT - Compressor Package</t>
  </si>
  <si>
    <t>108</t>
  </si>
  <si>
    <t>PRO-3070 Compressor FAT</t>
  </si>
  <si>
    <t>PROC - QA/QC Inspector</t>
  </si>
  <si>
    <t>109</t>
  </si>
  <si>
    <t>PRO-3080 Ship Compressor</t>
  </si>
  <si>
    <t>PROC - Buyer/Expeditor</t>
  </si>
  <si>
    <t>110</t>
  </si>
  <si>
    <t>PRO-3090 Compressor Received</t>
  </si>
  <si>
    <t>112</t>
  </si>
  <si>
    <t>PRO-3100 RFQ – Structural Steel</t>
  </si>
  <si>
    <t>113</t>
  </si>
  <si>
    <t>PRO-3110 Steel Award</t>
  </si>
  <si>
    <t>114</t>
  </si>
  <si>
    <t>PRO-3120 Steel Shop Drawings</t>
  </si>
  <si>
    <t>115</t>
  </si>
  <si>
    <t>PRO-3140 Steel Fabrication</t>
  </si>
  <si>
    <t>MAT - Structural Steel Supply</t>
  </si>
  <si>
    <t>116</t>
  </si>
  <si>
    <t>PRO-3150 Deliver Steel</t>
  </si>
  <si>
    <t>117</t>
  </si>
  <si>
    <t>PRO-3160 RFQ – Piping Bulks</t>
  </si>
  <si>
    <t>118</t>
  </si>
  <si>
    <t>PRO-3170 Piping Bulks Award</t>
  </si>
  <si>
    <t>119</t>
  </si>
  <si>
    <t>PRO-3180 Receive Piping Bulks</t>
  </si>
  <si>
    <t>120</t>
  </si>
  <si>
    <t>PRO-3190 RFQ – E&amp;I Bulks</t>
  </si>
  <si>
    <t>121</t>
  </si>
  <si>
    <t>PRO-3200 E&amp;I Bulks Award</t>
  </si>
  <si>
    <t>123</t>
  </si>
  <si>
    <t>PRO-3210 Receive E&amp;I Bulks</t>
  </si>
  <si>
    <t>125</t>
  </si>
  <si>
    <t>PRO-3300 RFQ – Line Pipe</t>
  </si>
  <si>
    <t>126</t>
  </si>
  <si>
    <t>PRO-3310 Line Pipe Award</t>
  </si>
  <si>
    <t>128</t>
  </si>
  <si>
    <t>PRO-3320 Line Pipe Coating</t>
  </si>
  <si>
    <t>MAT - Line Pipe Supply</t>
  </si>
  <si>
    <t>129</t>
  </si>
  <si>
    <t>PRO-3330 Deliver Line Pipe</t>
  </si>
  <si>
    <t>130</t>
  </si>
  <si>
    <t>PRO-3340 Receive Pipeline Valves</t>
  </si>
  <si>
    <t>132</t>
  </si>
  <si>
    <t>PRO-3400 Tender Civil Contractor</t>
  </si>
  <si>
    <t>PM - Contracts/Admin</t>
  </si>
  <si>
    <t>133</t>
  </si>
  <si>
    <t>PRO-3410 Civil Contractor Award</t>
  </si>
  <si>
    <t>134</t>
  </si>
  <si>
    <t>PRO-3420 Tender Mechanical Contractor</t>
  </si>
  <si>
    <t>135</t>
  </si>
  <si>
    <t>PRO-3430 Mechanical Contractor Award</t>
  </si>
  <si>
    <t>136</t>
  </si>
  <si>
    <t>PRO-3440 Tender E&amp;I Contractor</t>
  </si>
  <si>
    <t>137</t>
  </si>
  <si>
    <t>PRO-3450 E&amp;I Contractor Award</t>
  </si>
  <si>
    <t>138</t>
  </si>
  <si>
    <t>PRO-3460 Tender Pipeline Contractor</t>
  </si>
  <si>
    <t>139</t>
  </si>
  <si>
    <t>PRO-3470 Pipeline Contractor Award</t>
  </si>
  <si>
    <t>142</t>
  </si>
  <si>
    <t>CON-4000 Plant Mobilization</t>
  </si>
  <si>
    <t>CIV - Site Prep Crew</t>
  </si>
  <si>
    <t>143</t>
  </si>
  <si>
    <t>CON-4010 Temp Facilities Setup</t>
  </si>
  <si>
    <t>144</t>
  </si>
  <si>
    <t>CON-4020 Survey &amp; Layout</t>
  </si>
  <si>
    <t>145</t>
  </si>
  <si>
    <t>CON-4030 Clearing</t>
  </si>
  <si>
    <t>147</t>
  </si>
  <si>
    <t>CON-4100 Earthworks</t>
  </si>
  <si>
    <t>CIV - Concrete Crew</t>
  </si>
  <si>
    <t>148</t>
  </si>
  <si>
    <t>CON-4110 Underground Utilities</t>
  </si>
  <si>
    <t>149</t>
  </si>
  <si>
    <t>CON-4120 Form Foundations</t>
  </si>
  <si>
    <t>150</t>
  </si>
  <si>
    <t>CON-4130 Rebar Install</t>
  </si>
  <si>
    <t>151</t>
  </si>
  <si>
    <t>CON-4140 Pour Foundations</t>
  </si>
  <si>
    <t>152</t>
  </si>
  <si>
    <t>CON-4150 Cure &amp; Backfill</t>
  </si>
  <si>
    <t>154</t>
  </si>
  <si>
    <t>CON-4200 Erect Columns</t>
  </si>
  <si>
    <t>STR - Steel Erection Crew</t>
  </si>
  <si>
    <t>155</t>
  </si>
  <si>
    <t>CON-4210 Erect Beams</t>
  </si>
  <si>
    <t>156</t>
  </si>
  <si>
    <t>CON-4220 Install Grating</t>
  </si>
  <si>
    <t>157</t>
  </si>
  <si>
    <t>CON-4230 Install Pipe Rack Steel</t>
  </si>
  <si>
    <t>159</t>
  </si>
  <si>
    <t>CON-4300 Receive Equipment</t>
  </si>
  <si>
    <t>MECH - Rigging Crew</t>
  </si>
  <si>
    <t>160</t>
  </si>
  <si>
    <t>CON-4310 Set Vessels</t>
  </si>
  <si>
    <t>MECH - Equipment Setting Crew</t>
  </si>
  <si>
    <t>161</t>
  </si>
  <si>
    <t>CON-4320 Set Exchangers</t>
  </si>
  <si>
    <t>162</t>
  </si>
  <si>
    <t>CON-4330 Set Compressor</t>
  </si>
  <si>
    <t>163</t>
  </si>
  <si>
    <t>CON-4340 Install Skid Piping</t>
  </si>
  <si>
    <t>MECH - Pipefitters Crew</t>
  </si>
  <si>
    <t>164</t>
  </si>
  <si>
    <t>CON-4350 Install Spools – Area A</t>
  </si>
  <si>
    <t>165</t>
  </si>
  <si>
    <t>CON-4360 Install Spools – Area B</t>
  </si>
  <si>
    <t>166</t>
  </si>
  <si>
    <t>CON-4370 Install Valves</t>
  </si>
  <si>
    <t>167</t>
  </si>
  <si>
    <t>CON-4380 NDE / PWHT</t>
  </si>
  <si>
    <t>MECH - NDE/NDT Technician</t>
  </si>
  <si>
    <t>168</t>
  </si>
  <si>
    <t>CON-4390 Piping Hydrotest</t>
  </si>
  <si>
    <t>PIPE - Hydrotest Crew</t>
  </si>
  <si>
    <t>169</t>
  </si>
  <si>
    <t>CON-4400 Drying &amp; Reinstatement</t>
  </si>
  <si>
    <t>MECH - Hydrotest Crew</t>
  </si>
  <si>
    <t>171</t>
  </si>
  <si>
    <t>CON-4500 Install Ground Grid</t>
  </si>
  <si>
    <t>E&amp;I - Electrical Crew</t>
  </si>
  <si>
    <t>172</t>
  </si>
  <si>
    <t>CON-4510 Install Cable Tray</t>
  </si>
  <si>
    <t>E&amp;I - Cable Tray Crew</t>
  </si>
  <si>
    <t>173</t>
  </si>
  <si>
    <t>CON-4520 Pull Power Cables</t>
  </si>
  <si>
    <t>E&amp;I - Cable Pull Crew</t>
  </si>
  <si>
    <t>174</t>
  </si>
  <si>
    <t>CON-4530 Pull Control Cables</t>
  </si>
  <si>
    <t>175</t>
  </si>
  <si>
    <t>CON-4540 MCC Terminations</t>
  </si>
  <si>
    <t>176</t>
  </si>
  <si>
    <t>CON-4550 Field Terminations</t>
  </si>
  <si>
    <t>E&amp;I - Termination Crew</t>
  </si>
  <si>
    <t>177</t>
  </si>
  <si>
    <t>CON-4560 Lighting &amp; Heat Trace</t>
  </si>
  <si>
    <t>178</t>
  </si>
  <si>
    <t>CON-4570 Energize Substation</t>
  </si>
  <si>
    <t>180</t>
  </si>
  <si>
    <t>CON-4600 Install Instruments</t>
  </si>
  <si>
    <t>E&amp;I - Instrument Crew</t>
  </si>
  <si>
    <t>181</t>
  </si>
  <si>
    <t>CON-4610 Install Control Valves</t>
  </si>
  <si>
    <t>182</t>
  </si>
  <si>
    <t>CON-4620 Install Analyzers</t>
  </si>
  <si>
    <t>183</t>
  </si>
  <si>
    <t>CON-4630 Install Junction Boxes</t>
  </si>
  <si>
    <t>184</t>
  </si>
  <si>
    <t>CON-4640 Loop Checks</t>
  </si>
  <si>
    <t>COM - Controls/Loop Check Team</t>
  </si>
  <si>
    <t>185</t>
  </si>
  <si>
    <t>CON-4650 Controls Testing</t>
  </si>
  <si>
    <t>187</t>
  </si>
  <si>
    <t>CON-4700 Paint Touch-Up</t>
  </si>
  <si>
    <t>188</t>
  </si>
  <si>
    <t>CON-4710 Insulation Install</t>
  </si>
  <si>
    <t>189</t>
  </si>
  <si>
    <t>CON-4720 Tagging &amp; Labels</t>
  </si>
  <si>
    <t>191</t>
  </si>
  <si>
    <t>CON-4800 Shutdown Planning</t>
  </si>
  <si>
    <t>CON - Construction Manager</t>
  </si>
  <si>
    <t>192</t>
  </si>
  <si>
    <t>CON-4810 Prefab Complete</t>
  </si>
  <si>
    <t>MECH - Welders Crew</t>
  </si>
  <si>
    <t>193</t>
  </si>
  <si>
    <t>CON-4820 Execute Tie-Ins</t>
  </si>
  <si>
    <t>194</t>
  </si>
  <si>
    <t>CON-4830 Tie-Ins Complete</t>
  </si>
  <si>
    <t>CON - QA/QC Inspector</t>
  </si>
  <si>
    <t>195</t>
  </si>
  <si>
    <t>CON-4840 Plant Mech Completion</t>
  </si>
  <si>
    <t>198</t>
  </si>
  <si>
    <t>PL-5000 Pipeline Mobilization</t>
  </si>
  <si>
    <t>PIPE - Pipeline Superintendent</t>
  </si>
  <si>
    <t>199</t>
  </si>
  <si>
    <t>PL-5010 Survey &amp; Staking</t>
  </si>
  <si>
    <t>PIPE - ROW Clearing Crew</t>
  </si>
  <si>
    <t>200</t>
  </si>
  <si>
    <t>PL-5020 ROW Clearing</t>
  </si>
  <si>
    <t>201</t>
  </si>
  <si>
    <t>PL-5030 Access Improvements</t>
  </si>
  <si>
    <t>203</t>
  </si>
  <si>
    <t>PL-5100 Pipe Stringing</t>
  </si>
  <si>
    <t>PIPE - Stringing Crew</t>
  </si>
  <si>
    <t>204</t>
  </si>
  <si>
    <t>PL-5110 Pipe Bending</t>
  </si>
  <si>
    <t>PIPE - Bending Crew</t>
  </si>
  <si>
    <t>205</t>
  </si>
  <si>
    <t>PL-5120 Mainline Welding</t>
  </si>
  <si>
    <t>PIPE - Welding Crew</t>
  </si>
  <si>
    <t>206</t>
  </si>
  <si>
    <t>PL-5130 Mainline NDT</t>
  </si>
  <si>
    <t>PIPE - NDT Crew</t>
  </si>
  <si>
    <t>207</t>
  </si>
  <si>
    <t>PL-5140 Field Joint Coating</t>
  </si>
  <si>
    <t>PIPE - Coating Crew</t>
  </si>
  <si>
    <t>208</t>
  </si>
  <si>
    <t>PL-5150 Lower-In</t>
  </si>
  <si>
    <t>PIPE - Lower-In Crew</t>
  </si>
  <si>
    <t>209</t>
  </si>
  <si>
    <t>PL-5160 Backfill</t>
  </si>
  <si>
    <t>210</t>
  </si>
  <si>
    <t>PL-5170 Install Valves</t>
  </si>
  <si>
    <t>212</t>
  </si>
  <si>
    <t>PL-5200 Watercourse Crossing</t>
  </si>
  <si>
    <t>213</t>
  </si>
  <si>
    <t>PL-5210 Road Crossing</t>
  </si>
  <si>
    <t>214</t>
  </si>
  <si>
    <t>PL-5220 Tie-In Spools Fab</t>
  </si>
  <si>
    <t>216</t>
  </si>
  <si>
    <t>PL-5300 Hydrotest Prep</t>
  </si>
  <si>
    <t>217</t>
  </si>
  <si>
    <t>PL-5310 Hydrotest</t>
  </si>
  <si>
    <t>218</t>
  </si>
  <si>
    <t>PL-5320 Dewater &amp; Purge</t>
  </si>
  <si>
    <t>219</t>
  </si>
  <si>
    <t>PL-5330 Final Tie-Ins</t>
  </si>
  <si>
    <t>220</t>
  </si>
  <si>
    <t>PL-5340 Pipeline Mech Completion</t>
  </si>
  <si>
    <t>223</t>
  </si>
  <si>
    <t>COM-6000 Walkdowns</t>
  </si>
  <si>
    <t>COM - Commissioning Lead</t>
  </si>
  <si>
    <t>224</t>
  </si>
  <si>
    <t>COM-6010 Flushing</t>
  </si>
  <si>
    <t>225</t>
  </si>
  <si>
    <t>COM-6020 Utilities Commissioning</t>
  </si>
  <si>
    <t>226</t>
  </si>
  <si>
    <t>COM-6030 Early Energization</t>
  </si>
  <si>
    <t>227</t>
  </si>
  <si>
    <t>COM-6040 Controls Testing</t>
  </si>
  <si>
    <t>228</t>
  </si>
  <si>
    <t>COM-6050 Cause &amp; Effect Testing</t>
  </si>
  <si>
    <t>229</t>
  </si>
  <si>
    <t>COM-6060 Pre-Comm Complete</t>
  </si>
  <si>
    <t>231</t>
  </si>
  <si>
    <t>COM-6100 Introduce Gas</t>
  </si>
  <si>
    <t>COM - Operators/Start-Up Team</t>
  </si>
  <si>
    <t>232</t>
  </si>
  <si>
    <t>COM-6110 Start Compressor</t>
  </si>
  <si>
    <t>233</t>
  </si>
  <si>
    <t>COM-6120 Ramp to Stable Ops</t>
  </si>
  <si>
    <t>234</t>
  </si>
  <si>
    <t>COM-6130 Ready for Start-Up</t>
  </si>
  <si>
    <t>235</t>
  </si>
  <si>
    <t>COM-6140 First Gas</t>
  </si>
  <si>
    <t>236</t>
  </si>
  <si>
    <t>COM-6150 Performance Test</t>
  </si>
  <si>
    <t>237</t>
  </si>
  <si>
    <t>COM-6160 Performance Test Passed</t>
  </si>
  <si>
    <t>239</t>
  </si>
  <si>
    <t>CLO-7000 Punchlist Close</t>
  </si>
  <si>
    <t>CLO - Turnover/As-Builts Team</t>
  </si>
  <si>
    <t>240</t>
  </si>
  <si>
    <t>CLO-7010 As-Builts</t>
  </si>
  <si>
    <t>241</t>
  </si>
  <si>
    <t>CLO-7020 O&amp;M Manuals</t>
  </si>
  <si>
    <t>242</t>
  </si>
  <si>
    <t>CLO-7030 Training</t>
  </si>
  <si>
    <t>CLO - Training Coordinator</t>
  </si>
  <si>
    <t>104</t>
  </si>
  <si>
    <t>PRO-3030 Compressor Shop Drawings</t>
  </si>
  <si>
    <t>122</t>
  </si>
  <si>
    <t>PRO-3205 Electrical Shop Drawings</t>
  </si>
  <si>
    <t>127</t>
  </si>
  <si>
    <t>PRO-3315 Line Pipe Mill Data / Coating Submittals</t>
  </si>
  <si>
    <t>Engineering</t>
  </si>
  <si>
    <t>E&amp;I - Controls Integration Team</t>
  </si>
  <si>
    <t>COM - Vendor Rep (Compressor)</t>
  </si>
  <si>
    <t>MAT - Piping Bulks Supply</t>
  </si>
  <si>
    <t>MAT - E&amp;I Bulks Supply</t>
  </si>
  <si>
    <t>MAT - Pipeline Valves/Fittings</t>
  </si>
  <si>
    <t>EQ - Crane Rental</t>
  </si>
  <si>
    <t>EQ - Excavator/Dozer Rental</t>
  </si>
  <si>
    <t>EQ - Hydrotest Pumps Rental</t>
  </si>
  <si>
    <t>PM - Document Control</t>
  </si>
  <si>
    <t>CON - HSE Officer</t>
  </si>
  <si>
    <t>CIV - Earthworks Crew</t>
  </si>
  <si>
    <t>CIV - Underground Utilities Crew</t>
  </si>
  <si>
    <t>STR - Crane Operator</t>
  </si>
  <si>
    <t>pred_task_id</t>
  </si>
  <si>
    <t>task_id</t>
  </si>
  <si>
    <t>pred_type</t>
  </si>
  <si>
    <t>PREDTASK__status_code</t>
  </si>
  <si>
    <t>TASK__status_code</t>
  </si>
  <si>
    <t>pred_proj_id</t>
  </si>
  <si>
    <t>proj_id</t>
  </si>
  <si>
    <t>PREDTASK__PROJWBS__wbs_full_name</t>
  </si>
  <si>
    <t>TASK__PROJWBS__wbs_full_name</t>
  </si>
  <si>
    <t>PREDTASK__task_name</t>
  </si>
  <si>
    <t>TASK__task_name</t>
  </si>
  <si>
    <t>lag_hr_cnt</t>
  </si>
  <si>
    <t>PREDTASK__rsrc_id</t>
  </si>
  <si>
    <t>TASK__rsrc_id</t>
  </si>
  <si>
    <t>Predecessor</t>
  </si>
  <si>
    <t>Successor</t>
  </si>
  <si>
    <t>Relationship Type</t>
  </si>
  <si>
    <t>(*)Predecessor Activity Status</t>
  </si>
  <si>
    <t>(*)Successor Activity Status</t>
  </si>
  <si>
    <t>(*)Predecessor Project</t>
  </si>
  <si>
    <t>(*)Successor Project</t>
  </si>
  <si>
    <t>(*)Predecessor WBS</t>
  </si>
  <si>
    <t>(*)Successor WBS</t>
  </si>
  <si>
    <t>(*)Predecessor Activity Name</t>
  </si>
  <si>
    <t>(*)Successor Activity Name</t>
  </si>
  <si>
    <t>Lag(h)</t>
  </si>
  <si>
    <t>(*)Predecessor Primary Resource</t>
  </si>
  <si>
    <t>(*)Successor Primary Resource</t>
  </si>
  <si>
    <t>FS</t>
  </si>
  <si>
    <t>ABOG100</t>
  </si>
  <si>
    <t>ABOG100.2 1.0 Project Management &amp; Controls</t>
  </si>
  <si>
    <t>ABOG100.1 Project Milestones</t>
  </si>
  <si>
    <t>0</t>
  </si>
  <si>
    <t>ABOG100.3.3 2.3 Mechanical Engineering</t>
  </si>
  <si>
    <t>ABOG100.3.4 2.4 Civil/Structural Engineering</t>
  </si>
  <si>
    <t>ABOG100.3.5 2.5 Electrical Engineering</t>
  </si>
  <si>
    <t>ABOG100.3.6 2.6 Instrumentation &amp; Controls</t>
  </si>
  <si>
    <t>ABOG100.3.7 2.7 Pipeline Engineering</t>
  </si>
  <si>
    <t>ABOG100.5.1 4.1 Long-Lead Equipment</t>
  </si>
  <si>
    <t>ABOG100.6.8 5.8 Tie-Ins</t>
  </si>
  <si>
    <t>ABOG100.7.4 6.4 Pipeline Testing</t>
  </si>
  <si>
    <t>ABOG100.8.1 7.1 Pre-Commissioning</t>
  </si>
  <si>
    <t>ABOG100.8.2 7.2 Start-Up</t>
  </si>
  <si>
    <t>ABOG100.9 8.0 Closeout</t>
  </si>
  <si>
    <t>ABOG100.3.1 2.1 Engineering Management</t>
  </si>
  <si>
    <t>ABOG100.3.2 2.2 Process Engineering</t>
  </si>
  <si>
    <t>ABOG100.4 3.0 Permits / Regulatory / Land</t>
  </si>
  <si>
    <t>ABOG100.5.2 4.2 Bulks &amp; Materials</t>
  </si>
  <si>
    <t>ABOG100.5.3 4.3 Pipeline Materials</t>
  </si>
  <si>
    <t>ABOG100.5.4 4.4 Subcontract Awards</t>
  </si>
  <si>
    <t>ABOG100.6.1 5.1 Site Prep</t>
  </si>
  <si>
    <t>ABOG100.6.2 5.2 Civil &amp; Foundations</t>
  </si>
  <si>
    <t>ABOG100.6.3 5.3 Structural Steel</t>
  </si>
  <si>
    <t>ABOG100.6.4 5.4 Mechanical Installation</t>
  </si>
  <si>
    <t>ABOG100.6.5 5.5 Electrical Installation</t>
  </si>
  <si>
    <t>ABOG100.6.6 5.6 I&amp;C Installation</t>
  </si>
  <si>
    <t>ABOG100.6.7 5.7 Insulation &amp; Paint</t>
  </si>
  <si>
    <t>ABOG100.7.1 6.1 ROW Prep</t>
  </si>
  <si>
    <t>ABOG100.7.2 6.2 Mainline Construction</t>
  </si>
  <si>
    <t>ABOG100.7.3 6.3 Crossings</t>
  </si>
  <si>
    <t>Initials</t>
  </si>
  <si>
    <t>Group</t>
  </si>
  <si>
    <t>Max. Units</t>
  </si>
  <si>
    <t>Std. Rate</t>
  </si>
  <si>
    <t>Cost/Use</t>
  </si>
  <si>
    <t>PM</t>
  </si>
  <si>
    <t>PMO</t>
  </si>
  <si>
    <t>$150.00/hr</t>
  </si>
  <si>
    <t>PCL</t>
  </si>
  <si>
    <t>$140.00/hr</t>
  </si>
  <si>
    <t>SCH</t>
  </si>
  <si>
    <t>$120.00/hr</t>
  </si>
  <si>
    <t>CC</t>
  </si>
  <si>
    <t>DC</t>
  </si>
  <si>
    <t>$55.00/hr</t>
  </si>
  <si>
    <t>CA</t>
  </si>
  <si>
    <t>$85.00/hr</t>
  </si>
  <si>
    <t>EM</t>
  </si>
  <si>
    <t>$145.00/hr</t>
  </si>
  <si>
    <t>PE</t>
  </si>
  <si>
    <t>$135.00/hr</t>
  </si>
  <si>
    <t>ME</t>
  </si>
  <si>
    <t>CSE</t>
  </si>
  <si>
    <t>EE</t>
  </si>
  <si>
    <t>ICE</t>
  </si>
  <si>
    <t>PLE</t>
  </si>
  <si>
    <t>CAD</t>
  </si>
  <si>
    <t>PL</t>
  </si>
  <si>
    <t>Procurement</t>
  </si>
  <si>
    <t>BE</t>
  </si>
  <si>
    <t>QCI</t>
  </si>
  <si>
    <t>$90.00/hr</t>
  </si>
  <si>
    <t>RPL</t>
  </si>
  <si>
    <t>Regulatory</t>
  </si>
  <si>
    <t>$115.00/hr</t>
  </si>
  <si>
    <t>LA</t>
  </si>
  <si>
    <t>$95.00/hr</t>
  </si>
  <si>
    <t>ENV</t>
  </si>
  <si>
    <t>$105.00/hr</t>
  </si>
  <si>
    <t>CM</t>
  </si>
  <si>
    <t>Construction</t>
  </si>
  <si>
    <t>HSE</t>
  </si>
  <si>
    <t>QC</t>
  </si>
  <si>
    <t>SPC</t>
  </si>
  <si>
    <t>Civil</t>
  </si>
  <si>
    <t>EWC</t>
  </si>
  <si>
    <t>$125.00/hr</t>
  </si>
  <si>
    <t>UUC</t>
  </si>
  <si>
    <t>$130.00/hr</t>
  </si>
  <si>
    <t>CONC</t>
  </si>
  <si>
    <t>SEC</t>
  </si>
  <si>
    <t>Structural</t>
  </si>
  <si>
    <t>CRN</t>
  </si>
  <si>
    <t>RIG</t>
  </si>
  <si>
    <t>Mechanical</t>
  </si>
  <si>
    <t>ESC</t>
  </si>
  <si>
    <t>PF</t>
  </si>
  <si>
    <t>WLD</t>
  </si>
  <si>
    <t>NDT</t>
  </si>
  <si>
    <t>HT</t>
  </si>
  <si>
    <t>ELC</t>
  </si>
  <si>
    <t>E&amp;I</t>
  </si>
  <si>
    <t>INS</t>
  </si>
  <si>
    <t>CTC</t>
  </si>
  <si>
    <t>CPC</t>
  </si>
  <si>
    <t>TRM</t>
  </si>
  <si>
    <t>CIT</t>
  </si>
  <si>
    <t>$160.00/hr</t>
  </si>
  <si>
    <t>PS</t>
  </si>
  <si>
    <t>Pipeline</t>
  </si>
  <si>
    <t>ROW</t>
  </si>
  <si>
    <t>STRG</t>
  </si>
  <si>
    <t>BND</t>
  </si>
  <si>
    <t>PW</t>
  </si>
  <si>
    <t>$155.00/hr</t>
  </si>
  <si>
    <t>PNDT</t>
  </si>
  <si>
    <t>COAT</t>
  </si>
  <si>
    <t>LWR</t>
  </si>
  <si>
    <t>PHT</t>
  </si>
  <si>
    <t>CL</t>
  </si>
  <si>
    <t>Commissioning</t>
  </si>
  <si>
    <t>OPS</t>
  </si>
  <si>
    <t>LCT</t>
  </si>
  <si>
    <t>VR</t>
  </si>
  <si>
    <t>$220.00/hr</t>
  </si>
  <si>
    <t>TOT</t>
  </si>
  <si>
    <t>Closeout</t>
  </si>
  <si>
    <t>TC</t>
  </si>
  <si>
    <t>CP</t>
  </si>
  <si>
    <t>Major Equip</t>
  </si>
  <si>
    <t>STL</t>
  </si>
  <si>
    <t>Materials</t>
  </si>
  <si>
    <t>PIP</t>
  </si>
  <si>
    <t>EIB</t>
  </si>
  <si>
    <t>LNP</t>
  </si>
  <si>
    <t>Pipeline Mat</t>
  </si>
  <si>
    <t>PVF</t>
  </si>
  <si>
    <t>CRR</t>
  </si>
  <si>
    <t>Equipment</t>
  </si>
  <si>
    <t>$0.00/hr</t>
  </si>
  <si>
    <t>EXD</t>
  </si>
  <si>
    <t>HTP</t>
  </si>
  <si>
    <t>BL Project Start</t>
  </si>
  <si>
    <t>BL Project Finish</t>
  </si>
  <si>
    <t>Actual Start</t>
  </si>
  <si>
    <t>Actual Finish</t>
  </si>
  <si>
    <t>MS-9010 IFC Issued (All Disciplines)</t>
  </si>
  <si>
    <t>MS-9030 Mech Completion (Plant)</t>
  </si>
  <si>
    <t>MS-9040 Mech Completion (Pipeline)</t>
  </si>
  <si>
    <t>ENG-1210 Heat&amp; Material Balance</t>
  </si>
  <si>
    <t>ENG-1250 Cause&amp; Effect Draft</t>
  </si>
  <si>
    <t>ENG-1740 Cause&amp; Effect Final</t>
  </si>
  <si>
    <t>PRO-3000 RFQ (Compressor)</t>
  </si>
  <si>
    <t>PRO-3010 Tech Eval (Compressor)</t>
  </si>
  <si>
    <t>PRO-3020 Comm Eval (Compressor)</t>
  </si>
  <si>
    <t>PRO-3100 RFQ (Structural Steel)</t>
  </si>
  <si>
    <t>PRO-3160 RFQ (Piping Bulks)</t>
  </si>
  <si>
    <t>PRO-3190 RFQ (E&amp;I Bulks)</t>
  </si>
  <si>
    <t>PRO-3300 RFQ (Line Pipe)</t>
  </si>
  <si>
    <t>CON-4020 Survey&amp; Layout</t>
  </si>
  <si>
    <t>CON-4150 Cure&amp; Backfill</t>
  </si>
  <si>
    <t>CON-4350 Install Spools (Area A)</t>
  </si>
  <si>
    <t>CON-4360 Install Spools (Area B)</t>
  </si>
  <si>
    <t>CON-4400 Drying&amp; Reinstatement</t>
  </si>
  <si>
    <t>CON-4560 Lighting&amp; Heat Trace</t>
  </si>
  <si>
    <t>CON-4720 Tagging&amp; Labels</t>
  </si>
  <si>
    <t>PL-5010 Survey&amp; Staking</t>
  </si>
  <si>
    <t>PL-5320 Dewater&amp; Purge</t>
  </si>
  <si>
    <t>COM-6050 Cause&amp; Effect Testing</t>
  </si>
  <si>
    <t>Activity Name</t>
  </si>
  <si>
    <t>Resources</t>
  </si>
  <si>
    <t>Data Date:</t>
  </si>
  <si>
    <t>Hours/Day</t>
  </si>
  <si>
    <t>Baseline Duration (Days)</t>
  </si>
  <si>
    <t>Actual Duration (Days)</t>
  </si>
  <si>
    <t>Material Cost</t>
  </si>
  <si>
    <t>Labour Resource</t>
  </si>
  <si>
    <t>Material Resource</t>
  </si>
  <si>
    <t>Utilization (%)</t>
  </si>
  <si>
    <t>Labour Rate (per hour)</t>
  </si>
  <si>
    <t>CPI</t>
  </si>
  <si>
    <t>SPI</t>
  </si>
  <si>
    <t>EV</t>
  </si>
  <si>
    <t>PV</t>
  </si>
  <si>
    <t>AC</t>
  </si>
  <si>
    <t>PC</t>
  </si>
  <si>
    <t>CV</t>
  </si>
  <si>
    <t>SV</t>
  </si>
  <si>
    <t>EAC</t>
  </si>
  <si>
    <t>% Work Complete</t>
  </si>
  <si>
    <t xml:space="preserve">*planned material costs = actual material costs, </t>
  </si>
  <si>
    <t>PV_Month</t>
  </si>
  <si>
    <t>Grand Total</t>
  </si>
  <si>
    <t>Sum of PV</t>
  </si>
  <si>
    <t>Sum of EV</t>
  </si>
  <si>
    <t>Sum of AC</t>
  </si>
  <si>
    <t>Cumulative PV</t>
  </si>
  <si>
    <t>Cumulative EV</t>
  </si>
  <si>
    <t>Cumulative AC</t>
  </si>
  <si>
    <t>Details for Sum of PV</t>
  </si>
  <si>
    <t>Project:</t>
  </si>
  <si>
    <t>Report Date:</t>
  </si>
  <si>
    <t>Data Source:</t>
  </si>
  <si>
    <t>Metric:</t>
  </si>
  <si>
    <t>BAC (Budget at Completion)</t>
  </si>
  <si>
    <t>PV (Planned Value)</t>
  </si>
  <si>
    <t>EV (Earned Value)</t>
  </si>
  <si>
    <t>AC (Actual Cost)</t>
  </si>
  <si>
    <t>CPI (Cost Performance Index)</t>
  </si>
  <si>
    <t>SPI (Schedule Peformance Index)</t>
  </si>
  <si>
    <t>Cost Variance</t>
  </si>
  <si>
    <t>Schedule Variance</t>
  </si>
  <si>
    <t>EAC (Estimate at Completion)</t>
  </si>
  <si>
    <t>BAC</t>
  </si>
  <si>
    <t>Alberta Oil and Gas Facility Expansion</t>
  </si>
  <si>
    <t>Primavera P6 Schedule &amp; Excel Earned Value Analysis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</si>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</sst>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\ hh:mm"/>
    <numFmt numFmtId="165" formatCode="&quot;$&quot;#,##0.00"/>
    <numFmt numFmtId="166" formatCode="0.000"/>
  </numFmts>
  <fonts count="10" x14ac:knownFonts="1">
    <font>
      <sz val="11"/>
      <name val="Aptos Narrow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7">
    <xf numFmtId="0" fontId="0" fillId="0" borderId="0" xfId="0"/>
    <xf numFmtId="164" fontId="0" fillId="0" borderId="0" xfId="0" applyNumberFormat="1"/>
    <xf numFmtId="0" fontId="2" fillId="0" borderId="0" xfId="1" applyFont="1"/>
    <xf numFmtId="0" fontId="2" fillId="3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9" fontId="2" fillId="2" borderId="1" xfId="1" applyNumberFormat="1" applyFont="1" applyFill="1" applyBorder="1" applyAlignment="1">
      <alignment horizontal="right" vertical="center" wrapText="1"/>
    </xf>
    <xf numFmtId="0" fontId="2" fillId="2" borderId="1" xfId="1" applyFont="1" applyFill="1" applyBorder="1" applyAlignment="1">
      <alignment horizontal="right" vertical="center" wrapText="1"/>
    </xf>
    <xf numFmtId="8" fontId="2" fillId="2" borderId="1" xfId="1" applyNumberFormat="1" applyFont="1" applyFill="1" applyBorder="1" applyAlignment="1">
      <alignment horizontal="right" vertical="center" wrapText="1"/>
    </xf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14" fontId="2" fillId="0" borderId="1" xfId="0" applyNumberFormat="1" applyFont="1" applyBorder="1"/>
    <xf numFmtId="14" fontId="2" fillId="0" borderId="0" xfId="0" applyNumberFormat="1" applyFont="1"/>
    <xf numFmtId="2" fontId="2" fillId="0" borderId="0" xfId="0" applyNumberFormat="1" applyFont="1"/>
    <xf numFmtId="2" fontId="2" fillId="0" borderId="1" xfId="0" applyNumberFormat="1" applyFont="1" applyBorder="1"/>
    <xf numFmtId="1" fontId="2" fillId="0" borderId="0" xfId="0" applyNumberFormat="1" applyFont="1"/>
    <xf numFmtId="0" fontId="2" fillId="0" borderId="1" xfId="1" applyFont="1" applyBorder="1"/>
    <xf numFmtId="165" fontId="2" fillId="0" borderId="0" xfId="0" applyNumberFormat="1" applyFont="1"/>
    <xf numFmtId="165" fontId="2" fillId="0" borderId="1" xfId="0" applyNumberFormat="1" applyFont="1" applyBorder="1"/>
    <xf numFmtId="165" fontId="2" fillId="0" borderId="1" xfId="2" applyNumberFormat="1" applyFont="1" applyBorder="1"/>
    <xf numFmtId="14" fontId="2" fillId="4" borderId="0" xfId="0" applyNumberFormat="1" applyFont="1" applyFill="1"/>
    <xf numFmtId="0" fontId="0" fillId="0" borderId="1" xfId="0" applyBorder="1"/>
    <xf numFmtId="0" fontId="2" fillId="5" borderId="1" xfId="0" applyFont="1" applyFill="1" applyBorder="1"/>
    <xf numFmtId="165" fontId="2" fillId="5" borderId="1" xfId="0" applyNumberFormat="1" applyFont="1" applyFill="1" applyBorder="1"/>
    <xf numFmtId="0" fontId="2" fillId="5" borderId="0" xfId="0" applyFont="1" applyFill="1"/>
    <xf numFmtId="9" fontId="0" fillId="0" borderId="1" xfId="3" applyFont="1" applyBorder="1"/>
    <xf numFmtId="2" fontId="4" fillId="0" borderId="0" xfId="0" applyNumberFormat="1" applyFont="1"/>
    <xf numFmtId="2" fontId="4" fillId="0" borderId="1" xfId="0" applyNumberFormat="1" applyFont="1" applyBorder="1"/>
    <xf numFmtId="2" fontId="2" fillId="5" borderId="1" xfId="0" applyNumberFormat="1" applyFont="1" applyFill="1" applyBorder="1"/>
    <xf numFmtId="1" fontId="2" fillId="5" borderId="1" xfId="0" applyNumberFormat="1" applyFont="1" applyFill="1" applyBorder="1"/>
    <xf numFmtId="14" fontId="0" fillId="0" borderId="1" xfId="0" applyNumberFormat="1" applyBorder="1"/>
    <xf numFmtId="164" fontId="5" fillId="4" borderId="0" xfId="0" applyNumberFormat="1" applyFont="1" applyFill="1" applyAlignment="1">
      <alignment wrapText="1"/>
    </xf>
    <xf numFmtId="0" fontId="0" fillId="0" borderId="2" xfId="0" applyBorder="1"/>
    <xf numFmtId="14" fontId="2" fillId="0" borderId="3" xfId="0" applyNumberFormat="1" applyFon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9" fontId="0" fillId="0" borderId="8" xfId="3" applyFont="1" applyBorder="1"/>
    <xf numFmtId="2" fontId="2" fillId="0" borderId="8" xfId="0" applyNumberFormat="1" applyFont="1" applyBorder="1"/>
    <xf numFmtId="165" fontId="2" fillId="0" borderId="8" xfId="0" applyNumberFormat="1" applyFont="1" applyBorder="1"/>
    <xf numFmtId="2" fontId="4" fillId="0" borderId="8" xfId="0" applyNumberFormat="1" applyFont="1" applyBorder="1"/>
    <xf numFmtId="1" fontId="2" fillId="5" borderId="8" xfId="0" applyNumberFormat="1" applyFont="1" applyFill="1" applyBorder="1"/>
    <xf numFmtId="165" fontId="2" fillId="0" borderId="8" xfId="2" applyNumberFormat="1" applyFont="1" applyBorder="1"/>
    <xf numFmtId="2" fontId="2" fillId="5" borderId="8" xfId="0" applyNumberFormat="1" applyFont="1" applyFill="1" applyBorder="1"/>
    <xf numFmtId="165" fontId="2" fillId="5" borderId="8" xfId="0" applyNumberFormat="1" applyFont="1" applyFill="1" applyBorder="1"/>
    <xf numFmtId="14" fontId="2" fillId="0" borderId="9" xfId="0" applyNumberFormat="1" applyFont="1" applyBorder="1"/>
    <xf numFmtId="0" fontId="6" fillId="3" borderId="4" xfId="0" applyFont="1" applyFill="1" applyBorder="1"/>
    <xf numFmtId="14" fontId="6" fillId="3" borderId="5" xfId="0" applyNumberFormat="1" applyFont="1" applyFill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165" fontId="6" fillId="3" borderId="5" xfId="0" applyNumberFormat="1" applyFont="1" applyFill="1" applyBorder="1"/>
    <xf numFmtId="2" fontId="7" fillId="3" borderId="5" xfId="0" applyNumberFormat="1" applyFont="1" applyFill="1" applyBorder="1"/>
    <xf numFmtId="1" fontId="6" fillId="3" borderId="5" xfId="0" applyNumberFormat="1" applyFont="1" applyFill="1" applyBorder="1"/>
    <xf numFmtId="0" fontId="6" fillId="3" borderId="6" xfId="0" applyFont="1" applyFill="1" applyBorder="1"/>
    <xf numFmtId="0" fontId="6" fillId="0" borderId="0" xfId="0" applyFont="1"/>
    <xf numFmtId="14" fontId="0" fillId="0" borderId="0" xfId="0" applyNumberFormat="1" applyAlignment="1">
      <alignment horizontal="left"/>
    </xf>
    <xf numFmtId="165" fontId="0" fillId="0" borderId="0" xfId="0" applyNumberFormat="1"/>
    <xf numFmtId="0" fontId="8" fillId="0" borderId="0" xfId="0" applyFont="1"/>
    <xf numFmtId="22" fontId="0" fillId="0" borderId="0" xfId="0" applyNumberFormat="1"/>
    <xf numFmtId="14" fontId="0" fillId="0" borderId="0" xfId="0" applyNumberFormat="1"/>
    <xf numFmtId="165" fontId="8" fillId="0" borderId="0" xfId="0" applyNumberFormat="1" applyFont="1"/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1" xfId="0" applyFont="1" applyBorder="1"/>
    <xf numFmtId="0" fontId="4" fillId="0" borderId="0" xfId="0" applyFont="1"/>
    <xf numFmtId="9" fontId="9" fillId="0" borderId="0" xfId="0" applyNumberFormat="1" applyFont="1"/>
    <xf numFmtId="1" fontId="2" fillId="5" borderId="0" xfId="0" applyNumberFormat="1" applyFont="1" applyFill="1"/>
    <xf numFmtId="2" fontId="2" fillId="5" borderId="0" xfId="0" applyNumberFormat="1" applyFont="1" applyFill="1"/>
    <xf numFmtId="165" fontId="2" fillId="5" borderId="0" xfId="0" applyNumberFormat="1" applyFont="1" applyFill="1"/>
    <xf numFmtId="165" fontId="2" fillId="4" borderId="1" xfId="0" applyNumberFormat="1" applyFont="1" applyFill="1" applyBorder="1"/>
    <xf numFmtId="166" fontId="2" fillId="0" borderId="1" xfId="0" applyNumberFormat="1" applyFont="1" applyBorder="1"/>
    <xf numFmtId="0" fontId="4" fillId="6" borderId="1" xfId="0" applyFont="1" applyFill="1" applyBorder="1"/>
    <xf numFmtId="0" fontId="2" fillId="6" borderId="1" xfId="0" applyFont="1" applyFill="1" applyBorder="1"/>
    <xf numFmtId="0" fontId="0" fillId="6" borderId="0" xfId="0" applyFill="1"/>
    <xf numFmtId="0" fontId="8" fillId="6" borderId="10" xfId="0" applyFont="1" applyFill="1" applyBorder="1"/>
    <xf numFmtId="14" fontId="0" fillId="0" borderId="10" xfId="0" applyNumberFormat="1" applyBorder="1" applyAlignment="1">
      <alignment horizontal="left"/>
    </xf>
    <xf numFmtId="165" fontId="0" fillId="0" borderId="10" xfId="0" applyNumberFormat="1" applyBorder="1"/>
  </cellXfs>
  <cellStyles count="4">
    <cellStyle name="Currency" xfId="2" builtinId="4"/>
    <cellStyle name="Normal" xfId="0" builtinId="0"/>
    <cellStyle name="Normal 2" xfId="1" xr:uid="{6BA38C79-80CF-426A-806E-A53AF66B55D5}"/>
    <cellStyle name="Percent" xfId="3" builtinId="5"/>
  </cellStyles>
  <dxfs count="34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&quot;$&quot;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3" formatCode="0%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m/d/yyyy\ hh:mm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m/d/yyyy\ hh:mm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27" formatCode="m/d/yyyy\ h:mm"/>
    </dxf>
    <dxf>
      <numFmt numFmtId="27" formatCode="m/d/yyyy\ h:mm"/>
    </dxf>
  </dxfs>
  <tableStyles count="1" defaultTableStyle="TableStyleMedium2" defaultPivotStyle="PivotStyleLight16">
    <tableStyle name="Table Style 1" pivot="0" count="0" xr9:uid="{3E61A0E8-D6B7-45C2-83B1-5EFCD77246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Earned Value S-Curve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'Earned Value S-Curve'!$E$3</c:f>
              <c:strCache>
                <c:ptCount val="1"/>
                <c:pt idx="0">
                  <c:v>Cumulative 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'Earned Value S-Curve'!$A:$A</c15:sqref>
                  </c15:fullRef>
                </c:ext>
              </c:extLst>
              <c:f>'Earned Value S-Curve'!$A$4:$A$1048576</c:f>
              <c:strCache>
                <c:ptCount val="27"/>
                <c:pt idx="0">
                  <c:v>9/30/2024</c:v>
                </c:pt>
                <c:pt idx="1">
                  <c:v>10/31/2024</c:v>
                </c:pt>
                <c:pt idx="2">
                  <c:v>11/30/2024</c:v>
                </c:pt>
                <c:pt idx="3">
                  <c:v>12/31/2024</c:v>
                </c:pt>
                <c:pt idx="4">
                  <c:v>1/31/2025</c:v>
                </c:pt>
                <c:pt idx="5">
                  <c:v>2/28/2025</c:v>
                </c:pt>
                <c:pt idx="6">
                  <c:v>3/31/2025</c:v>
                </c:pt>
                <c:pt idx="7">
                  <c:v>4/30/2025</c:v>
                </c:pt>
                <c:pt idx="8">
                  <c:v>5/31/2025</c:v>
                </c:pt>
                <c:pt idx="9">
                  <c:v>6/30/2025</c:v>
                </c:pt>
                <c:pt idx="10">
                  <c:v>7/31/2025</c:v>
                </c:pt>
                <c:pt idx="11">
                  <c:v>8/31/2025</c:v>
                </c:pt>
                <c:pt idx="12">
                  <c:v>9/30/2025</c:v>
                </c:pt>
                <c:pt idx="13">
                  <c:v>10/31/2025</c:v>
                </c:pt>
                <c:pt idx="14">
                  <c:v>11/30/2025</c:v>
                </c:pt>
                <c:pt idx="15">
                  <c:v>12/31/2025</c:v>
                </c:pt>
                <c:pt idx="16">
                  <c:v>1/31/2026</c:v>
                </c:pt>
                <c:pt idx="17">
                  <c:v>2/28/2026</c:v>
                </c:pt>
                <c:pt idx="18">
                  <c:v>3/31/2026</c:v>
                </c:pt>
                <c:pt idx="19">
                  <c:v>4/30/2026</c:v>
                </c:pt>
                <c:pt idx="20">
                  <c:v>5/31/2026</c:v>
                </c:pt>
                <c:pt idx="21">
                  <c:v>6/30/2026</c:v>
                </c:pt>
                <c:pt idx="22">
                  <c:v>7/31/2026</c:v>
                </c:pt>
                <c:pt idx="23">
                  <c:v>8/31/2026</c:v>
                </c:pt>
                <c:pt idx="24">
                  <c:v>9/30/2026</c:v>
                </c:pt>
                <c:pt idx="25">
                  <c:v>10/31/2026</c:v>
                </c:pt>
                <c:pt idx="26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'Earned Value S-Curve'!$E$4:$E$30</c15:sqref>
                  </c15:fullRef>
                </c:ext>
              </c:extLst>
              <c:f>'Earned Value S-Curve'!$E$7:$E$30</c:f>
              <c:numCache>
                <c:formatCode>"$"#,##0.00</c:formatCode>
                <c:ptCount val="24"/>
                <c:pt idx="0">
                  <c:v>2996725</c:v>
                </c:pt>
                <c:pt idx="1">
                  <c:v>3343540</c:v>
                </c:pt>
                <c:pt idx="2">
                  <c:v>8123285</c:v>
                </c:pt>
                <c:pt idx="3">
                  <c:v>8260055</c:v>
                </c:pt>
                <c:pt idx="4">
                  <c:v>8348310</c:v>
                </c:pt>
                <c:pt idx="5">
                  <c:v>8419740</c:v>
                </c:pt>
                <c:pt idx="6">
                  <c:v>8505620</c:v>
                </c:pt>
                <c:pt idx="7">
                  <c:v>8576790</c:v>
                </c:pt>
                <c:pt idx="8">
                  <c:v>8790050</c:v>
                </c:pt>
                <c:pt idx="9">
                  <c:v>71012990</c:v>
                </c:pt>
                <c:pt idx="10">
                  <c:v>71362695</c:v>
                </c:pt>
                <c:pt idx="11">
                  <c:v>71667805</c:v>
                </c:pt>
                <c:pt idx="12">
                  <c:v>72201770</c:v>
                </c:pt>
                <c:pt idx="13">
                  <c:v>72746940</c:v>
                </c:pt>
                <c:pt idx="14">
                  <c:v>73069365</c:v>
                </c:pt>
                <c:pt idx="15">
                  <c:v>73144430</c:v>
                </c:pt>
                <c:pt idx="16">
                  <c:v>73144430</c:v>
                </c:pt>
                <c:pt idx="17">
                  <c:v>73144430</c:v>
                </c:pt>
                <c:pt idx="18">
                  <c:v>73144430</c:v>
                </c:pt>
                <c:pt idx="19">
                  <c:v>73144430</c:v>
                </c:pt>
                <c:pt idx="20">
                  <c:v>73144430</c:v>
                </c:pt>
                <c:pt idx="21">
                  <c:v>73144430</c:v>
                </c:pt>
                <c:pt idx="22">
                  <c:v>73144430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A-472A-A3E4-02A020466F0E}"/>
            </c:ext>
          </c:extLst>
        </c:ser>
        <c:ser>
          <c:idx val="1"/>
          <c:order val="1"/>
          <c:tx>
            <c:strRef>
              <c:f>'Earned Value S-Curve'!$F$3</c:f>
              <c:strCache>
                <c:ptCount val="1"/>
                <c:pt idx="0">
                  <c:v>Cumulative 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'Earned Value S-Curve'!$A:$A</c15:sqref>
                  </c15:fullRef>
                </c:ext>
              </c:extLst>
              <c:f>'Earned Value S-Curve'!$A$4:$A$1048576</c:f>
              <c:strCache>
                <c:ptCount val="27"/>
                <c:pt idx="0">
                  <c:v>9/30/2024</c:v>
                </c:pt>
                <c:pt idx="1">
                  <c:v>10/31/2024</c:v>
                </c:pt>
                <c:pt idx="2">
                  <c:v>11/30/2024</c:v>
                </c:pt>
                <c:pt idx="3">
                  <c:v>12/31/2024</c:v>
                </c:pt>
                <c:pt idx="4">
                  <c:v>1/31/2025</c:v>
                </c:pt>
                <c:pt idx="5">
                  <c:v>2/28/2025</c:v>
                </c:pt>
                <c:pt idx="6">
                  <c:v>3/31/2025</c:v>
                </c:pt>
                <c:pt idx="7">
                  <c:v>4/30/2025</c:v>
                </c:pt>
                <c:pt idx="8">
                  <c:v>5/31/2025</c:v>
                </c:pt>
                <c:pt idx="9">
                  <c:v>6/30/2025</c:v>
                </c:pt>
                <c:pt idx="10">
                  <c:v>7/31/2025</c:v>
                </c:pt>
                <c:pt idx="11">
                  <c:v>8/31/2025</c:v>
                </c:pt>
                <c:pt idx="12">
                  <c:v>9/30/2025</c:v>
                </c:pt>
                <c:pt idx="13">
                  <c:v>10/31/2025</c:v>
                </c:pt>
                <c:pt idx="14">
                  <c:v>11/30/2025</c:v>
                </c:pt>
                <c:pt idx="15">
                  <c:v>12/31/2025</c:v>
                </c:pt>
                <c:pt idx="16">
                  <c:v>1/31/2026</c:v>
                </c:pt>
                <c:pt idx="17">
                  <c:v>2/28/2026</c:v>
                </c:pt>
                <c:pt idx="18">
                  <c:v>3/31/2026</c:v>
                </c:pt>
                <c:pt idx="19">
                  <c:v>4/30/2026</c:v>
                </c:pt>
                <c:pt idx="20">
                  <c:v>5/31/2026</c:v>
                </c:pt>
                <c:pt idx="21">
                  <c:v>6/30/2026</c:v>
                </c:pt>
                <c:pt idx="22">
                  <c:v>7/31/2026</c:v>
                </c:pt>
                <c:pt idx="23">
                  <c:v>8/31/2026</c:v>
                </c:pt>
                <c:pt idx="24">
                  <c:v>9/30/2026</c:v>
                </c:pt>
                <c:pt idx="25">
                  <c:v>10/31/2026</c:v>
                </c:pt>
                <c:pt idx="26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'Earned Value S-Curve'!$F$4:$F$30</c15:sqref>
                  </c15:fullRef>
                </c:ext>
              </c:extLst>
              <c:f>'Earned Value S-Curve'!$F$7:$F$30</c:f>
              <c:numCache>
                <c:formatCode>"$"#,##0.00</c:formatCode>
                <c:ptCount val="24"/>
                <c:pt idx="0">
                  <c:v>2996725</c:v>
                </c:pt>
                <c:pt idx="1">
                  <c:v>3343540</c:v>
                </c:pt>
                <c:pt idx="2">
                  <c:v>8123285</c:v>
                </c:pt>
                <c:pt idx="3">
                  <c:v>8217179.9060000004</c:v>
                </c:pt>
                <c:pt idx="4">
                  <c:v>8305434.9060000004</c:v>
                </c:pt>
                <c:pt idx="5">
                  <c:v>8376864.9060000004</c:v>
                </c:pt>
                <c:pt idx="6">
                  <c:v>8462489.9059999995</c:v>
                </c:pt>
                <c:pt idx="7">
                  <c:v>8533659.9059999995</c:v>
                </c:pt>
                <c:pt idx="8">
                  <c:v>8746919.9059999995</c:v>
                </c:pt>
                <c:pt idx="9">
                  <c:v>70969859.906000003</c:v>
                </c:pt>
                <c:pt idx="10">
                  <c:v>71319564.906000003</c:v>
                </c:pt>
                <c:pt idx="11">
                  <c:v>71624674.906000003</c:v>
                </c:pt>
                <c:pt idx="12">
                  <c:v>72158639.906000003</c:v>
                </c:pt>
                <c:pt idx="13">
                  <c:v>72675389.906000003</c:v>
                </c:pt>
                <c:pt idx="14">
                  <c:v>72934000.406000003</c:v>
                </c:pt>
                <c:pt idx="15">
                  <c:v>72978010.406000003</c:v>
                </c:pt>
                <c:pt idx="16">
                  <c:v>72978010.406000003</c:v>
                </c:pt>
                <c:pt idx="17">
                  <c:v>72978010.406000003</c:v>
                </c:pt>
                <c:pt idx="18">
                  <c:v>72978010.406000003</c:v>
                </c:pt>
                <c:pt idx="19">
                  <c:v>72978010.406000003</c:v>
                </c:pt>
                <c:pt idx="20">
                  <c:v>72978010.406000003</c:v>
                </c:pt>
                <c:pt idx="21">
                  <c:v>72978010.406000003</c:v>
                </c:pt>
                <c:pt idx="22">
                  <c:v>72978010.406000003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A-472A-A3E4-02A020466F0E}"/>
            </c:ext>
          </c:extLst>
        </c:ser>
        <c:ser>
          <c:idx val="2"/>
          <c:order val="2"/>
          <c:tx>
            <c:strRef>
              <c:f>'Earned Value S-Curve'!$G$3</c:f>
              <c:strCache>
                <c:ptCount val="1"/>
                <c:pt idx="0">
                  <c:v>Cumulative 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'Earned Value S-Curve'!$A:$A</c15:sqref>
                  </c15:fullRef>
                </c:ext>
              </c:extLst>
              <c:f>'Earned Value S-Curve'!$A$4:$A$1048576</c:f>
              <c:strCache>
                <c:ptCount val="27"/>
                <c:pt idx="0">
                  <c:v>9/30/2024</c:v>
                </c:pt>
                <c:pt idx="1">
                  <c:v>10/31/2024</c:v>
                </c:pt>
                <c:pt idx="2">
                  <c:v>11/30/2024</c:v>
                </c:pt>
                <c:pt idx="3">
                  <c:v>12/31/2024</c:v>
                </c:pt>
                <c:pt idx="4">
                  <c:v>1/31/2025</c:v>
                </c:pt>
                <c:pt idx="5">
                  <c:v>2/28/2025</c:v>
                </c:pt>
                <c:pt idx="6">
                  <c:v>3/31/2025</c:v>
                </c:pt>
                <c:pt idx="7">
                  <c:v>4/30/2025</c:v>
                </c:pt>
                <c:pt idx="8">
                  <c:v>5/31/2025</c:v>
                </c:pt>
                <c:pt idx="9">
                  <c:v>6/30/2025</c:v>
                </c:pt>
                <c:pt idx="10">
                  <c:v>7/31/2025</c:v>
                </c:pt>
                <c:pt idx="11">
                  <c:v>8/31/2025</c:v>
                </c:pt>
                <c:pt idx="12">
                  <c:v>9/30/2025</c:v>
                </c:pt>
                <c:pt idx="13">
                  <c:v>10/31/2025</c:v>
                </c:pt>
                <c:pt idx="14">
                  <c:v>11/30/2025</c:v>
                </c:pt>
                <c:pt idx="15">
                  <c:v>12/31/2025</c:v>
                </c:pt>
                <c:pt idx="16">
                  <c:v>1/31/2026</c:v>
                </c:pt>
                <c:pt idx="17">
                  <c:v>2/28/2026</c:v>
                </c:pt>
                <c:pt idx="18">
                  <c:v>3/31/2026</c:v>
                </c:pt>
                <c:pt idx="19">
                  <c:v>4/30/2026</c:v>
                </c:pt>
                <c:pt idx="20">
                  <c:v>5/31/2026</c:v>
                </c:pt>
                <c:pt idx="21">
                  <c:v>6/30/2026</c:v>
                </c:pt>
                <c:pt idx="22">
                  <c:v>7/31/2026</c:v>
                </c:pt>
                <c:pt idx="23">
                  <c:v>8/31/2026</c:v>
                </c:pt>
                <c:pt idx="24">
                  <c:v>9/30/2026</c:v>
                </c:pt>
                <c:pt idx="25">
                  <c:v>10/31/2026</c:v>
                </c:pt>
                <c:pt idx="26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'Earned Value S-Curve'!$G$4:$G$30</c15:sqref>
                  </c15:fullRef>
                </c:ext>
              </c:extLst>
              <c:f>'Earned Value S-Curve'!$G$7:$G$30</c:f>
              <c:numCache>
                <c:formatCode>"$"#,##0.00</c:formatCode>
                <c:ptCount val="24"/>
                <c:pt idx="0">
                  <c:v>2998085</c:v>
                </c:pt>
                <c:pt idx="1">
                  <c:v>3344900</c:v>
                </c:pt>
                <c:pt idx="2">
                  <c:v>8124645</c:v>
                </c:pt>
                <c:pt idx="3">
                  <c:v>8166585</c:v>
                </c:pt>
                <c:pt idx="4">
                  <c:v>8258805</c:v>
                </c:pt>
                <c:pt idx="5">
                  <c:v>8335986.6666666269</c:v>
                </c:pt>
                <c:pt idx="6">
                  <c:v>8421611.6666666269</c:v>
                </c:pt>
                <c:pt idx="7">
                  <c:v>8507348.3333333321</c:v>
                </c:pt>
                <c:pt idx="8">
                  <c:v>8747448.3333333321</c:v>
                </c:pt>
                <c:pt idx="9">
                  <c:v>70983888.333333328</c:v>
                </c:pt>
                <c:pt idx="10">
                  <c:v>71335618.333333328</c:v>
                </c:pt>
                <c:pt idx="11">
                  <c:v>71619308.333333328</c:v>
                </c:pt>
                <c:pt idx="12">
                  <c:v>72153273.333333328</c:v>
                </c:pt>
                <c:pt idx="13">
                  <c:v>72672278.333333209</c:v>
                </c:pt>
                <c:pt idx="14">
                  <c:v>72891829.999999836</c:v>
                </c:pt>
                <c:pt idx="15">
                  <c:v>72935839.999999836</c:v>
                </c:pt>
                <c:pt idx="16">
                  <c:v>72935839.999999836</c:v>
                </c:pt>
                <c:pt idx="17">
                  <c:v>72935839.999999836</c:v>
                </c:pt>
                <c:pt idx="18">
                  <c:v>72935839.999999836</c:v>
                </c:pt>
                <c:pt idx="19">
                  <c:v>72935839.999999836</c:v>
                </c:pt>
                <c:pt idx="20">
                  <c:v>72935839.999999836</c:v>
                </c:pt>
                <c:pt idx="21">
                  <c:v>72935839.999999836</c:v>
                </c:pt>
                <c:pt idx="22">
                  <c:v>72935839.999999836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A-472A-A3E4-02A020466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03375"/>
        <c:axId val="1163904335"/>
      </c:lineChart>
      <c:dateAx>
        <c:axId val="116390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04335"/>
        <c:crosses val="autoZero"/>
        <c:auto val="0"/>
        <c:lblOffset val="100"/>
        <c:baseTimeUnit val="days"/>
        <c:majorUnit val="2"/>
      </c:dateAx>
      <c:valAx>
        <c:axId val="11639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Earned Value S-Curve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'Earned Value S-Curve'!$E$3</c:f>
              <c:strCache>
                <c:ptCount val="1"/>
                <c:pt idx="0">
                  <c:v>Cumulative 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'Earned Value S-Curve'!$A:$A</c15:sqref>
                  </c15:fullRef>
                </c:ext>
              </c:extLst>
              <c:f>'Earned Value S-Curve'!$A$4:$A$1048576</c:f>
              <c:strCache>
                <c:ptCount val="27"/>
                <c:pt idx="0">
                  <c:v>9/30/2024</c:v>
                </c:pt>
                <c:pt idx="1">
                  <c:v>10/31/2024</c:v>
                </c:pt>
                <c:pt idx="2">
                  <c:v>11/30/2024</c:v>
                </c:pt>
                <c:pt idx="3">
                  <c:v>12/31/2024</c:v>
                </c:pt>
                <c:pt idx="4">
                  <c:v>1/31/2025</c:v>
                </c:pt>
                <c:pt idx="5">
                  <c:v>2/28/2025</c:v>
                </c:pt>
                <c:pt idx="6">
                  <c:v>3/31/2025</c:v>
                </c:pt>
                <c:pt idx="7">
                  <c:v>4/30/2025</c:v>
                </c:pt>
                <c:pt idx="8">
                  <c:v>5/31/2025</c:v>
                </c:pt>
                <c:pt idx="9">
                  <c:v>6/30/2025</c:v>
                </c:pt>
                <c:pt idx="10">
                  <c:v>7/31/2025</c:v>
                </c:pt>
                <c:pt idx="11">
                  <c:v>8/31/2025</c:v>
                </c:pt>
                <c:pt idx="12">
                  <c:v>9/30/2025</c:v>
                </c:pt>
                <c:pt idx="13">
                  <c:v>10/31/2025</c:v>
                </c:pt>
                <c:pt idx="14">
                  <c:v>11/30/2025</c:v>
                </c:pt>
                <c:pt idx="15">
                  <c:v>12/31/2025</c:v>
                </c:pt>
                <c:pt idx="16">
                  <c:v>1/31/2026</c:v>
                </c:pt>
                <c:pt idx="17">
                  <c:v>2/28/2026</c:v>
                </c:pt>
                <c:pt idx="18">
                  <c:v>3/31/2026</c:v>
                </c:pt>
                <c:pt idx="19">
                  <c:v>4/30/2026</c:v>
                </c:pt>
                <c:pt idx="20">
                  <c:v>5/31/2026</c:v>
                </c:pt>
                <c:pt idx="21">
                  <c:v>6/30/2026</c:v>
                </c:pt>
                <c:pt idx="22">
                  <c:v>7/31/2026</c:v>
                </c:pt>
                <c:pt idx="23">
                  <c:v>8/31/2026</c:v>
                </c:pt>
                <c:pt idx="24">
                  <c:v>9/30/2026</c:v>
                </c:pt>
                <c:pt idx="25">
                  <c:v>10/31/2026</c:v>
                </c:pt>
                <c:pt idx="26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'Earned Value S-Curve'!$E$4:$E$30</c15:sqref>
                  </c15:fullRef>
                </c:ext>
              </c:extLst>
              <c:f>'Earned Value S-Curve'!$E$7:$E$30</c:f>
              <c:numCache>
                <c:formatCode>"$"#,##0.00</c:formatCode>
                <c:ptCount val="24"/>
                <c:pt idx="0">
                  <c:v>2996725</c:v>
                </c:pt>
                <c:pt idx="1">
                  <c:v>3343540</c:v>
                </c:pt>
                <c:pt idx="2">
                  <c:v>8123285</c:v>
                </c:pt>
                <c:pt idx="3">
                  <c:v>8260055</c:v>
                </c:pt>
                <c:pt idx="4">
                  <c:v>8348310</c:v>
                </c:pt>
                <c:pt idx="5">
                  <c:v>8419740</c:v>
                </c:pt>
                <c:pt idx="6">
                  <c:v>8505620</c:v>
                </c:pt>
                <c:pt idx="7">
                  <c:v>8576790</c:v>
                </c:pt>
                <c:pt idx="8">
                  <c:v>8790050</c:v>
                </c:pt>
                <c:pt idx="9">
                  <c:v>71012990</c:v>
                </c:pt>
                <c:pt idx="10">
                  <c:v>71362695</c:v>
                </c:pt>
                <c:pt idx="11">
                  <c:v>71667805</c:v>
                </c:pt>
                <c:pt idx="12">
                  <c:v>72201770</c:v>
                </c:pt>
                <c:pt idx="13">
                  <c:v>72746940</c:v>
                </c:pt>
                <c:pt idx="14">
                  <c:v>73069365</c:v>
                </c:pt>
                <c:pt idx="15">
                  <c:v>73144430</c:v>
                </c:pt>
                <c:pt idx="16">
                  <c:v>73144430</c:v>
                </c:pt>
                <c:pt idx="17">
                  <c:v>73144430</c:v>
                </c:pt>
                <c:pt idx="18">
                  <c:v>73144430</c:v>
                </c:pt>
                <c:pt idx="19">
                  <c:v>73144430</c:v>
                </c:pt>
                <c:pt idx="20">
                  <c:v>73144430</c:v>
                </c:pt>
                <c:pt idx="21">
                  <c:v>73144430</c:v>
                </c:pt>
                <c:pt idx="22">
                  <c:v>73144430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3-4AA4-AA1D-FCD648E488C7}"/>
            </c:ext>
          </c:extLst>
        </c:ser>
        <c:ser>
          <c:idx val="1"/>
          <c:order val="1"/>
          <c:tx>
            <c:strRef>
              <c:f>'Earned Value S-Curve'!$F$3</c:f>
              <c:strCache>
                <c:ptCount val="1"/>
                <c:pt idx="0">
                  <c:v>Cumulative 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'Earned Value S-Curve'!$A:$A</c15:sqref>
                  </c15:fullRef>
                </c:ext>
              </c:extLst>
              <c:f>'Earned Value S-Curve'!$A$4:$A$1048576</c:f>
              <c:strCache>
                <c:ptCount val="27"/>
                <c:pt idx="0">
                  <c:v>9/30/2024</c:v>
                </c:pt>
                <c:pt idx="1">
                  <c:v>10/31/2024</c:v>
                </c:pt>
                <c:pt idx="2">
                  <c:v>11/30/2024</c:v>
                </c:pt>
                <c:pt idx="3">
                  <c:v>12/31/2024</c:v>
                </c:pt>
                <c:pt idx="4">
                  <c:v>1/31/2025</c:v>
                </c:pt>
                <c:pt idx="5">
                  <c:v>2/28/2025</c:v>
                </c:pt>
                <c:pt idx="6">
                  <c:v>3/31/2025</c:v>
                </c:pt>
                <c:pt idx="7">
                  <c:v>4/30/2025</c:v>
                </c:pt>
                <c:pt idx="8">
                  <c:v>5/31/2025</c:v>
                </c:pt>
                <c:pt idx="9">
                  <c:v>6/30/2025</c:v>
                </c:pt>
                <c:pt idx="10">
                  <c:v>7/31/2025</c:v>
                </c:pt>
                <c:pt idx="11">
                  <c:v>8/31/2025</c:v>
                </c:pt>
                <c:pt idx="12">
                  <c:v>9/30/2025</c:v>
                </c:pt>
                <c:pt idx="13">
                  <c:v>10/31/2025</c:v>
                </c:pt>
                <c:pt idx="14">
                  <c:v>11/30/2025</c:v>
                </c:pt>
                <c:pt idx="15">
                  <c:v>12/31/2025</c:v>
                </c:pt>
                <c:pt idx="16">
                  <c:v>1/31/2026</c:v>
                </c:pt>
                <c:pt idx="17">
                  <c:v>2/28/2026</c:v>
                </c:pt>
                <c:pt idx="18">
                  <c:v>3/31/2026</c:v>
                </c:pt>
                <c:pt idx="19">
                  <c:v>4/30/2026</c:v>
                </c:pt>
                <c:pt idx="20">
                  <c:v>5/31/2026</c:v>
                </c:pt>
                <c:pt idx="21">
                  <c:v>6/30/2026</c:v>
                </c:pt>
                <c:pt idx="22">
                  <c:v>7/31/2026</c:v>
                </c:pt>
                <c:pt idx="23">
                  <c:v>8/31/2026</c:v>
                </c:pt>
                <c:pt idx="24">
                  <c:v>9/30/2026</c:v>
                </c:pt>
                <c:pt idx="25">
                  <c:v>10/31/2026</c:v>
                </c:pt>
                <c:pt idx="26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'Earned Value S-Curve'!$F$4:$F$30</c15:sqref>
                  </c15:fullRef>
                </c:ext>
              </c:extLst>
              <c:f>'Earned Value S-Curve'!$F$7:$F$30</c:f>
              <c:numCache>
                <c:formatCode>"$"#,##0.00</c:formatCode>
                <c:ptCount val="24"/>
                <c:pt idx="0">
                  <c:v>2996725</c:v>
                </c:pt>
                <c:pt idx="1">
                  <c:v>3343540</c:v>
                </c:pt>
                <c:pt idx="2">
                  <c:v>8123285</c:v>
                </c:pt>
                <c:pt idx="3">
                  <c:v>8217179.9060000004</c:v>
                </c:pt>
                <c:pt idx="4">
                  <c:v>8305434.9060000004</c:v>
                </c:pt>
                <c:pt idx="5">
                  <c:v>8376864.9060000004</c:v>
                </c:pt>
                <c:pt idx="6">
                  <c:v>8462489.9059999995</c:v>
                </c:pt>
                <c:pt idx="7">
                  <c:v>8533659.9059999995</c:v>
                </c:pt>
                <c:pt idx="8">
                  <c:v>8746919.9059999995</c:v>
                </c:pt>
                <c:pt idx="9">
                  <c:v>70969859.906000003</c:v>
                </c:pt>
                <c:pt idx="10">
                  <c:v>71319564.906000003</c:v>
                </c:pt>
                <c:pt idx="11">
                  <c:v>71624674.906000003</c:v>
                </c:pt>
                <c:pt idx="12">
                  <c:v>72158639.906000003</c:v>
                </c:pt>
                <c:pt idx="13">
                  <c:v>72675389.906000003</c:v>
                </c:pt>
                <c:pt idx="14">
                  <c:v>72934000.406000003</c:v>
                </c:pt>
                <c:pt idx="15">
                  <c:v>72978010.406000003</c:v>
                </c:pt>
                <c:pt idx="16">
                  <c:v>72978010.406000003</c:v>
                </c:pt>
                <c:pt idx="17">
                  <c:v>72978010.406000003</c:v>
                </c:pt>
                <c:pt idx="18">
                  <c:v>72978010.406000003</c:v>
                </c:pt>
                <c:pt idx="19">
                  <c:v>72978010.406000003</c:v>
                </c:pt>
                <c:pt idx="20">
                  <c:v>72978010.406000003</c:v>
                </c:pt>
                <c:pt idx="21">
                  <c:v>72978010.406000003</c:v>
                </c:pt>
                <c:pt idx="22">
                  <c:v>72978010.406000003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3-4AA4-AA1D-FCD648E488C7}"/>
            </c:ext>
          </c:extLst>
        </c:ser>
        <c:ser>
          <c:idx val="2"/>
          <c:order val="2"/>
          <c:tx>
            <c:strRef>
              <c:f>'Earned Value S-Curve'!$G$3</c:f>
              <c:strCache>
                <c:ptCount val="1"/>
                <c:pt idx="0">
                  <c:v>Cumulative 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'Earned Value S-Curve'!$A:$A</c15:sqref>
                  </c15:fullRef>
                </c:ext>
              </c:extLst>
              <c:f>'Earned Value S-Curve'!$A$4:$A$1048576</c:f>
              <c:strCache>
                <c:ptCount val="27"/>
                <c:pt idx="0">
                  <c:v>9/30/2024</c:v>
                </c:pt>
                <c:pt idx="1">
                  <c:v>10/31/2024</c:v>
                </c:pt>
                <c:pt idx="2">
                  <c:v>11/30/2024</c:v>
                </c:pt>
                <c:pt idx="3">
                  <c:v>12/31/2024</c:v>
                </c:pt>
                <c:pt idx="4">
                  <c:v>1/31/2025</c:v>
                </c:pt>
                <c:pt idx="5">
                  <c:v>2/28/2025</c:v>
                </c:pt>
                <c:pt idx="6">
                  <c:v>3/31/2025</c:v>
                </c:pt>
                <c:pt idx="7">
                  <c:v>4/30/2025</c:v>
                </c:pt>
                <c:pt idx="8">
                  <c:v>5/31/2025</c:v>
                </c:pt>
                <c:pt idx="9">
                  <c:v>6/30/2025</c:v>
                </c:pt>
                <c:pt idx="10">
                  <c:v>7/31/2025</c:v>
                </c:pt>
                <c:pt idx="11">
                  <c:v>8/31/2025</c:v>
                </c:pt>
                <c:pt idx="12">
                  <c:v>9/30/2025</c:v>
                </c:pt>
                <c:pt idx="13">
                  <c:v>10/31/2025</c:v>
                </c:pt>
                <c:pt idx="14">
                  <c:v>11/30/2025</c:v>
                </c:pt>
                <c:pt idx="15">
                  <c:v>12/31/2025</c:v>
                </c:pt>
                <c:pt idx="16">
                  <c:v>1/31/2026</c:v>
                </c:pt>
                <c:pt idx="17">
                  <c:v>2/28/2026</c:v>
                </c:pt>
                <c:pt idx="18">
                  <c:v>3/31/2026</c:v>
                </c:pt>
                <c:pt idx="19">
                  <c:v>4/30/2026</c:v>
                </c:pt>
                <c:pt idx="20">
                  <c:v>5/31/2026</c:v>
                </c:pt>
                <c:pt idx="21">
                  <c:v>6/30/2026</c:v>
                </c:pt>
                <c:pt idx="22">
                  <c:v>7/31/2026</c:v>
                </c:pt>
                <c:pt idx="23">
                  <c:v>8/31/2026</c:v>
                </c:pt>
                <c:pt idx="24">
                  <c:v>9/30/2026</c:v>
                </c:pt>
                <c:pt idx="25">
                  <c:v>10/31/2026</c:v>
                </c:pt>
                <c:pt idx="26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'Earned Value S-Curve'!$G$4:$G$30</c15:sqref>
                  </c15:fullRef>
                </c:ext>
              </c:extLst>
              <c:f>'Earned Value S-Curve'!$G$7:$G$30</c:f>
              <c:numCache>
                <c:formatCode>"$"#,##0.00</c:formatCode>
                <c:ptCount val="24"/>
                <c:pt idx="0">
                  <c:v>2998085</c:v>
                </c:pt>
                <c:pt idx="1">
                  <c:v>3344900</c:v>
                </c:pt>
                <c:pt idx="2">
                  <c:v>8124645</c:v>
                </c:pt>
                <c:pt idx="3">
                  <c:v>8166585</c:v>
                </c:pt>
                <c:pt idx="4">
                  <c:v>8258805</c:v>
                </c:pt>
                <c:pt idx="5">
                  <c:v>8335986.6666666269</c:v>
                </c:pt>
                <c:pt idx="6">
                  <c:v>8421611.6666666269</c:v>
                </c:pt>
                <c:pt idx="7">
                  <c:v>8507348.3333333321</c:v>
                </c:pt>
                <c:pt idx="8">
                  <c:v>8747448.3333333321</c:v>
                </c:pt>
                <c:pt idx="9">
                  <c:v>70983888.333333328</c:v>
                </c:pt>
                <c:pt idx="10">
                  <c:v>71335618.333333328</c:v>
                </c:pt>
                <c:pt idx="11">
                  <c:v>71619308.333333328</c:v>
                </c:pt>
                <c:pt idx="12">
                  <c:v>72153273.333333328</c:v>
                </c:pt>
                <c:pt idx="13">
                  <c:v>72672278.333333209</c:v>
                </c:pt>
                <c:pt idx="14">
                  <c:v>72891829.999999836</c:v>
                </c:pt>
                <c:pt idx="15">
                  <c:v>72935839.999999836</c:v>
                </c:pt>
                <c:pt idx="16">
                  <c:v>72935839.999999836</c:v>
                </c:pt>
                <c:pt idx="17">
                  <c:v>72935839.999999836</c:v>
                </c:pt>
                <c:pt idx="18">
                  <c:v>72935839.999999836</c:v>
                </c:pt>
                <c:pt idx="19">
                  <c:v>72935839.999999836</c:v>
                </c:pt>
                <c:pt idx="20">
                  <c:v>72935839.999999836</c:v>
                </c:pt>
                <c:pt idx="21">
                  <c:v>72935839.999999836</c:v>
                </c:pt>
                <c:pt idx="22">
                  <c:v>72935839.999999836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3-4AA4-AA1D-FCD648E48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03375"/>
        <c:axId val="1163904335"/>
      </c:lineChart>
      <c:dateAx>
        <c:axId val="116390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04335"/>
        <c:crosses val="autoZero"/>
        <c:auto val="0"/>
        <c:lblOffset val="100"/>
        <c:baseTimeUnit val="days"/>
        <c:majorUnit val="2"/>
      </c:dateAx>
      <c:valAx>
        <c:axId val="11639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389282</xdr:colOff>
      <xdr:row>18</xdr:row>
      <xdr:rowOff>91108</xdr:rowOff>
    </xdr:from>
    <xdr:to>
      <xdr:col>1</xdr:col>
      <xdr:colOff>3776870</xdr:colOff>
      <xdr:row>36</xdr:row>
      <xdr:rowOff>149088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9226C-5527-4776-A55C-45C106805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306456</xdr:colOff>
      <xdr:row>41</xdr:row>
      <xdr:rowOff>8370</xdr:rowOff>
    </xdr:from>
    <xdr:to>
      <xdr:col>1</xdr:col>
      <xdr:colOff>3826565</xdr:colOff>
      <xdr:row>48</xdr:row>
      <xdr:rowOff>132522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556482-0E5A-C755-2CA8-B87A19DD2594}"/>
            </a:ext>
          </a:extLst>
        </xdr:cNvPr>
        <xdr:cNvSpPr/>
      </xdr:nvSpPr>
      <xdr:spPr>
        <a:xfrm>
          <a:off x="306456" y="6932631"/>
          <a:ext cx="6377609" cy="128371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As of 03/06/2026 the project is slightly behind schedule but essentially on budget. Planned Value (PV) is $73.14M, Earned Value (EV) is $72.98M, and Actual Cost (AC) is $72.94M. This results in a CPI of 1.00, indicating cost performance is effectively on plan, and an SPI of 1.00 (slightly below 1.0), indicating minor schedule slippage. The current variances are CV = +$42k and SV = -$166k, so the project has earned marginally less work than planned by the data date, but at essentially the expected cost. The main schedule impact remains the earlier civil/construction delay, which pushed downstream activities, while cost performance appears stable because major spending has tracked closely with earned progress under the current reporting assumptions.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129952</xdr:colOff>
      <xdr:row>1</xdr:row>
      <xdr:rowOff>170143</xdr:rowOff>
    </xdr:from>
    <xdr:to>
      <xdr:col>16</xdr:col>
      <xdr:colOff>68321</xdr:colOff>
      <xdr:row>21</xdr:row>
      <xdr:rowOff>112789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2B170-2FF9-8BB7-ED13-9025EBD25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Saxena" refreshedDate="46087.673442361112" createdVersion="8" refreshedVersion="8" minRefreshableVersion="3" recordCount="208" xr:uid="{F7D3346B-4177-441B-9875-0755F20256AC}">
  <cacheSource type="worksheet">
    <worksheetSource name="Table2"/>
  </cacheSource>
  <cacheFields count="25">
    <cacheField name="Activity Name" numFmtId="0">
      <sharedItems/>
    </cacheField>
    <cacheField name="BL Project Start" numFmtId="14">
      <sharedItems containsDate="1" containsMixedTypes="1" minDate="2024-09-25T08:00:00" maxDate="2026-09-22T08:00:00"/>
    </cacheField>
    <cacheField name="BL Project Finish" numFmtId="14">
      <sharedItems containsDate="1" containsMixedTypes="1" minDate="2024-10-04T17:00:00" maxDate="2026-10-20T17:00:00"/>
    </cacheField>
    <cacheField name="Actual Start" numFmtId="14">
      <sharedItems containsDate="1" containsMixedTypes="1" minDate="2024-09-25T08:00:00" maxDate="2026-03-09T08:00:00"/>
    </cacheField>
    <cacheField name="Actual Finish" numFmtId="14">
      <sharedItems containsDate="1" containsMixedTypes="1" minDate="2024-10-04T17:00:00" maxDate="2026-03-26T17:00:00"/>
    </cacheField>
    <cacheField name="Resources" numFmtId="0">
      <sharedItems/>
    </cacheField>
    <cacheField name="% Work Complete" numFmtId="9">
      <sharedItems containsSemiMixedTypes="0" containsString="0" containsNumber="1" minValue="0" maxValue="1"/>
    </cacheField>
    <cacheField name="Labour Rate (per hour)" numFmtId="0">
      <sharedItems containsBlank="1" containsMixedTypes="1" containsNumber="1" containsInteger="1" minValue="85" maxValue="160"/>
    </cacheField>
    <cacheField name="Material Cost" numFmtId="165">
      <sharedItems containsString="0" containsBlank="1" containsNumber="1" containsInteger="1" minValue="2500000" maxValue="62000000"/>
    </cacheField>
    <cacheField name="Utilization (%)" numFmtId="2">
      <sharedItems containsSemiMixedTypes="0" containsString="0" containsNumber="1" containsInteger="1" minValue="1" maxValue="6"/>
    </cacheField>
    <cacheField name="Baseline Duration (Days)" numFmtId="1">
      <sharedItems containsSemiMixedTypes="0" containsString="0" containsNumber="1" minValue="0" maxValue="151.375"/>
    </cacheField>
    <cacheField name="Actual Duration (Days)" numFmtId="1">
      <sharedItems containsSemiMixedTypes="0" containsString="0" containsNumber="1" minValue="0" maxValue="151.375"/>
    </cacheField>
    <cacheField name="BAC" numFmtId="165">
      <sharedItems containsSemiMixedTypes="0" containsString="0" containsNumber="1" containsInteger="1" minValue="0" maxValue="62000000"/>
    </cacheField>
    <cacheField name="AC" numFmtId="165">
      <sharedItems containsSemiMixedTypes="0" containsString="0" containsNumber="1" minValue="0" maxValue="62000000"/>
    </cacheField>
    <cacheField name="PV" numFmtId="165">
      <sharedItems containsSemiMixedTypes="0" containsString="0" containsNumber="1" containsInteger="1" minValue="0" maxValue="62000000"/>
    </cacheField>
    <cacheField name="EV" numFmtId="165">
      <sharedItems containsSemiMixedTypes="0" containsString="0" containsNumber="1" minValue="0" maxValue="62000000"/>
    </cacheField>
    <cacheField name="CPI" numFmtId="2">
      <sharedItems containsMixedTypes="1" containsNumber="1" minValue="0.40740740740740738" maxValue="1.963855421686747"/>
    </cacheField>
    <cacheField name="SPI" numFmtId="2">
      <sharedItems containsMixedTypes="1" containsNumber="1" minValue="0" maxValue="1"/>
    </cacheField>
    <cacheField name="CV" numFmtId="165">
      <sharedItems containsSemiMixedTypes="0" containsString="0" containsNumber="1" minValue="-29160" maxValue="28841.197500000002"/>
    </cacheField>
    <cacheField name="SV" numFmtId="165">
      <sharedItems containsSemiMixedTypes="0" containsString="0" containsNumber="1" minValue="-49633.5" maxValue="12285"/>
    </cacheField>
    <cacheField name="EAC" numFmtId="165">
      <sharedItems containsSemiMixedTypes="0" containsString="0" containsNumber="1" minValue="0" maxValue="62000000"/>
    </cacheField>
    <cacheField name="PV_Month" numFmtId="14">
      <sharedItems containsSemiMixedTypes="0" containsNonDate="0" containsDate="1" containsString="0" minDate="2024-09-30T00:00:00" maxDate="2026-11-01T00:00:00" count="26">
        <d v="2024-09-30T00:00:00"/>
        <d v="2025-06-30T00:00:00"/>
        <d v="2025-10-31T00:00:00"/>
        <d v="2026-05-31T00:00:00"/>
        <d v="2026-03-31T00:00:00"/>
        <d v="2026-06-30T00:00:00"/>
        <d v="2026-08-31T00:00:00"/>
        <d v="2026-09-30T00:00:00"/>
        <d v="2026-10-31T00:00:00"/>
        <d v="2024-10-31T00:00:00"/>
        <d v="2025-02-28T00:00:00"/>
        <d v="2025-04-30T00:00:00"/>
        <d v="2025-05-31T00:00:00"/>
        <d v="2024-11-30T00:00:00"/>
        <d v="2024-12-31T00:00:00"/>
        <d v="2025-01-31T00:00:00"/>
        <d v="2025-03-31T00:00:00"/>
        <d v="2025-09-30T00:00:00"/>
        <d v="2025-07-31T00:00:00"/>
        <d v="2025-08-31T00:00:00"/>
        <d v="2025-11-30T00:00:00"/>
        <d v="2025-12-31T00:00:00"/>
        <d v="2026-01-31T00:00:00"/>
        <d v="2026-02-28T00:00:00"/>
        <d v="2026-04-30T00:00:00"/>
        <d v="2026-07-31T00:00:00"/>
      </sharedItems>
      <fieldGroup par="24"/>
    </cacheField>
    <cacheField name="Months (PV_Month)" numFmtId="0" databaseField="0">
      <fieldGroup base="21">
        <rangePr groupBy="months" startDate="2024-09-30T00:00:00" endDate="2026-11-01T00:00:00"/>
        <groupItems count="14">
          <s v="&lt;9/3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26"/>
        </groupItems>
      </fieldGroup>
    </cacheField>
    <cacheField name="Quarters (PV_Month)" numFmtId="0" databaseField="0">
      <fieldGroup base="21">
        <rangePr groupBy="quarters" startDate="2024-09-30T00:00:00" endDate="2026-11-01T00:00:00"/>
        <groupItems count="6">
          <s v="&lt;9/30/2024"/>
          <s v="Qtr1"/>
          <s v="Qtr2"/>
          <s v="Qtr3"/>
          <s v="Qtr4"/>
          <s v="&gt;11/1/2026"/>
        </groupItems>
      </fieldGroup>
    </cacheField>
    <cacheField name="Years (PV_Month)" numFmtId="0" databaseField="0">
      <fieldGroup base="21">
        <rangePr groupBy="years" startDate="2024-09-30T00:00:00" endDate="2026-11-01T00:00:00"/>
        <groupItems count="5">
          <s v="&lt;9/30/2024"/>
          <s v="2024"/>
          <s v="2025"/>
          <s v="2026"/>
          <s v="&gt;1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s v="MS-9000 Project Kickoff"/>
    <d v="2024-09-25T08:00:00"/>
    <s v=""/>
    <d v="2024-09-25T08:00:00"/>
    <s v=""/>
    <s v=""/>
    <n v="1"/>
    <m/>
    <m/>
    <n v="1"/>
    <n v="0"/>
    <n v="0"/>
    <n v="0"/>
    <n v="0"/>
    <n v="0"/>
    <n v="0"/>
    <s v=""/>
    <s v=""/>
    <n v="0"/>
    <n v="0"/>
    <n v="0"/>
    <x v="0"/>
  </r>
  <r>
    <s v="MS-9010 IFC Issued (All Disciplines)"/>
    <s v=""/>
    <d v="2025-06-06T17:00:00"/>
    <s v=""/>
    <d v="2025-06-09T17:00:00"/>
    <s v=""/>
    <n v="1"/>
    <s v=""/>
    <m/>
    <n v="1"/>
    <n v="0"/>
    <n v="0"/>
    <n v="0"/>
    <n v="0"/>
    <n v="0"/>
    <n v="0"/>
    <s v=""/>
    <s v=""/>
    <n v="0"/>
    <n v="0"/>
    <n v="0"/>
    <x v="1"/>
  </r>
  <r>
    <s v="MS-9020 Compressor Delivered"/>
    <s v=""/>
    <d v="2025-10-02T17:00:00"/>
    <s v=""/>
    <d v="2025-10-03T17:00:00"/>
    <s v=""/>
    <n v="1"/>
    <s v=""/>
    <m/>
    <n v="1"/>
    <n v="0"/>
    <n v="0"/>
    <n v="0"/>
    <n v="0"/>
    <n v="0"/>
    <n v="0"/>
    <s v=""/>
    <s v=""/>
    <n v="0"/>
    <n v="0"/>
    <n v="0"/>
    <x v="2"/>
  </r>
  <r>
    <s v="MS-9030 Mech Completion (Plant)"/>
    <s v=""/>
    <d v="2026-05-12T17:00:00"/>
    <s v=""/>
    <s v=""/>
    <s v=""/>
    <n v="0"/>
    <s v=""/>
    <m/>
    <n v="1"/>
    <n v="0"/>
    <n v="0"/>
    <n v="0"/>
    <n v="0"/>
    <n v="0"/>
    <n v="0"/>
    <s v=""/>
    <s v=""/>
    <n v="0"/>
    <n v="0"/>
    <n v="0"/>
    <x v="3"/>
  </r>
  <r>
    <s v="MS-9040 Mech Completion (Pipeline)"/>
    <s v=""/>
    <d v="2026-03-27T17:00:00"/>
    <s v=""/>
    <s v=""/>
    <s v=""/>
    <n v="0"/>
    <s v=""/>
    <m/>
    <n v="1"/>
    <n v="0"/>
    <n v="0"/>
    <n v="0"/>
    <n v="0"/>
    <n v="0"/>
    <n v="0"/>
    <s v=""/>
    <s v=""/>
    <n v="0"/>
    <n v="0"/>
    <n v="0"/>
    <x v="4"/>
  </r>
  <r>
    <s v="MS-9050 Ready for Start-Up"/>
    <d v="2026-06-30T08:00:00"/>
    <s v=""/>
    <s v=""/>
    <s v=""/>
    <s v=""/>
    <n v="0"/>
    <s v=""/>
    <m/>
    <n v="1"/>
    <n v="0"/>
    <n v="0"/>
    <n v="0"/>
    <n v="0"/>
    <n v="0"/>
    <n v="0"/>
    <s v=""/>
    <s v=""/>
    <n v="0"/>
    <n v="0"/>
    <n v="0"/>
    <x v="5"/>
  </r>
  <r>
    <s v="MS-9060 First Gas"/>
    <d v="2026-08-14T08:00:00"/>
    <s v=""/>
    <s v=""/>
    <s v=""/>
    <s v=""/>
    <n v="0"/>
    <s v=""/>
    <m/>
    <n v="1"/>
    <n v="0"/>
    <n v="0"/>
    <n v="0"/>
    <n v="0"/>
    <n v="0"/>
    <n v="0"/>
    <s v=""/>
    <s v=""/>
    <n v="0"/>
    <n v="0"/>
    <n v="0"/>
    <x v="6"/>
  </r>
  <r>
    <s v="MS-9070 Performance Test Complete"/>
    <s v=""/>
    <d v="2026-08-25T17:00:00"/>
    <s v=""/>
    <s v=""/>
    <s v=""/>
    <n v="0"/>
    <s v=""/>
    <m/>
    <n v="1"/>
    <n v="0"/>
    <n v="0"/>
    <n v="0"/>
    <n v="0"/>
    <n v="0"/>
    <n v="0"/>
    <s v=""/>
    <s v=""/>
    <n v="0"/>
    <n v="0"/>
    <n v="0"/>
    <x v="6"/>
  </r>
  <r>
    <s v="MS-9080 Substantial Completion"/>
    <s v=""/>
    <d v="2026-09-22T17:00:00"/>
    <s v=""/>
    <s v=""/>
    <s v=""/>
    <n v="0"/>
    <s v=""/>
    <m/>
    <n v="1"/>
    <n v="0"/>
    <n v="0"/>
    <n v="0"/>
    <n v="0"/>
    <n v="0"/>
    <n v="0"/>
    <s v=""/>
    <s v=""/>
    <n v="0"/>
    <n v="0"/>
    <n v="0"/>
    <x v="7"/>
  </r>
  <r>
    <s v="MS-9090 Final Completion"/>
    <s v=""/>
    <d v="2026-10-20T17:00:00"/>
    <s v=""/>
    <s v=""/>
    <s v=""/>
    <n v="0"/>
    <s v=""/>
    <m/>
    <n v="1"/>
    <n v="0"/>
    <n v="0"/>
    <n v="0"/>
    <n v="0"/>
    <n v="0"/>
    <n v="0"/>
    <s v=""/>
    <s v=""/>
    <n v="0"/>
    <n v="0"/>
    <n v="0"/>
    <x v="8"/>
  </r>
  <r>
    <s v="PM-1000 Notice to Proceed"/>
    <d v="2024-09-25T08:00:00"/>
    <s v=""/>
    <s v=""/>
    <s v=""/>
    <s v=""/>
    <n v="0"/>
    <s v=""/>
    <m/>
    <n v="1"/>
    <n v="0"/>
    <n v="0"/>
    <n v="0"/>
    <n v="0"/>
    <n v="0"/>
    <n v="0"/>
    <s v=""/>
    <s v=""/>
    <n v="0"/>
    <n v="0"/>
    <n v="0"/>
    <x v="0"/>
  </r>
  <r>
    <s v="PM-1010 Controls Setup"/>
    <d v="2024-09-25T08:00:00"/>
    <d v="2024-10-04T17:00:00"/>
    <d v="2024-09-25T08:00:00"/>
    <d v="2024-10-04T17:00:00"/>
    <s v="PM - Project Controls Lead"/>
    <n v="1"/>
    <n v="140"/>
    <m/>
    <n v="1"/>
    <n v="9.375"/>
    <n v="9.375"/>
    <n v="10500"/>
    <n v="10500"/>
    <n v="10500"/>
    <n v="10500"/>
    <n v="1"/>
    <n v="1"/>
    <n v="0"/>
    <n v="0"/>
    <n v="10500"/>
    <x v="9"/>
  </r>
  <r>
    <s v="PM-1020 Baseline Schedule Build"/>
    <d v="2024-10-07T08:00:00"/>
    <d v="2024-10-22T17:00:00"/>
    <d v="2024-10-07T08:00:00"/>
    <d v="2024-10-22T17:00:00"/>
    <s v="PM - Scheduler"/>
    <n v="1"/>
    <n v="120"/>
    <m/>
    <n v="1"/>
    <n v="15.375"/>
    <n v="15.375"/>
    <n v="14760"/>
    <n v="14760"/>
    <n v="14760"/>
    <n v="14760"/>
    <n v="1"/>
    <n v="1"/>
    <n v="0"/>
    <n v="0"/>
    <n v="14760"/>
    <x v="9"/>
  </r>
  <r>
    <s v="PM-1030 Baseline Cost Load"/>
    <d v="2024-10-07T08:00:00"/>
    <d v="2024-10-11T17:00:00"/>
    <d v="2024-10-07T08:00:00"/>
    <d v="2024-10-11T17:00:00"/>
    <s v="PM - Cost Controller"/>
    <n v="1"/>
    <n v="120"/>
    <m/>
    <n v="1"/>
    <n v="4.375"/>
    <n v="4.375"/>
    <n v="4200"/>
    <n v="4200"/>
    <n v="4200"/>
    <n v="4200"/>
    <n v="1"/>
    <n v="1"/>
    <n v="0"/>
    <n v="0"/>
    <n v="4200"/>
    <x v="9"/>
  </r>
  <r>
    <s v="PM-1040 Baseline Approval"/>
    <d v="2024-10-23T08:00:00"/>
    <d v="2024-10-24T17:00:00"/>
    <d v="2024-10-23T08:00:00"/>
    <d v="2024-10-24T17:00:00"/>
    <s v="PM - Project Manager"/>
    <n v="1"/>
    <n v="150"/>
    <m/>
    <n v="1"/>
    <n v="1.375"/>
    <n v="1.375"/>
    <n v="1650"/>
    <n v="1650"/>
    <n v="1650"/>
    <n v="1650"/>
    <n v="1"/>
    <n v="1"/>
    <n v="0"/>
    <n v="0"/>
    <n v="1650"/>
    <x v="9"/>
  </r>
  <r>
    <s v="PM-1060 Change Control Setup"/>
    <d v="2024-10-07T08:00:00"/>
    <d v="2024-10-16T17:00:00"/>
    <d v="2024-10-07T08:00:00"/>
    <d v="2024-10-16T17:00:00"/>
    <s v="PM - Project Controls Lead"/>
    <n v="1"/>
    <n v="140"/>
    <m/>
    <n v="1"/>
    <n v="9.375"/>
    <n v="9.375"/>
    <n v="10500"/>
    <n v="10500"/>
    <n v="10500"/>
    <n v="10500"/>
    <n v="1"/>
    <n v="1"/>
    <n v="0"/>
    <n v="0"/>
    <n v="10500"/>
    <x v="9"/>
  </r>
  <r>
    <s v="PM-1070 Risk Register Setup"/>
    <d v="2024-10-07T08:00:00"/>
    <d v="2024-10-09T17:00:00"/>
    <d v="2024-10-07T08:00:00"/>
    <d v="2024-10-09T17:00:00"/>
    <s v="PM - Project Controls Lead"/>
    <n v="1"/>
    <n v="140"/>
    <m/>
    <n v="1"/>
    <n v="2.375"/>
    <n v="2.375"/>
    <n v="2660"/>
    <n v="2660"/>
    <n v="2660"/>
    <n v="2660"/>
    <n v="1"/>
    <n v="1"/>
    <n v="0"/>
    <n v="0"/>
    <n v="2660"/>
    <x v="9"/>
  </r>
  <r>
    <s v="PM-1080 Progress Measurement Plan"/>
    <d v="2024-10-07T08:00:00"/>
    <d v="2024-10-09T17:00:00"/>
    <d v="2024-10-07T08:00:00"/>
    <d v="2024-10-09T17:00:00"/>
    <s v="PM - Project Controls Lead"/>
    <n v="1"/>
    <n v="140"/>
    <m/>
    <n v="1"/>
    <n v="2.375"/>
    <n v="2.375"/>
    <n v="2660"/>
    <n v="2660"/>
    <n v="2660"/>
    <n v="2660"/>
    <n v="1"/>
    <n v="1"/>
    <n v="0"/>
    <n v="0"/>
    <n v="2660"/>
    <x v="9"/>
  </r>
  <r>
    <s v="ENG-1100 Engineering Kickoff"/>
    <d v="2024-09-26T08:00:00"/>
    <d v="2024-10-07T17:00:00"/>
    <d v="2024-09-26T08:00:00"/>
    <d v="2024-10-07T17:00:00"/>
    <s v="ENG - Engineering Manager"/>
    <n v="1"/>
    <n v="145"/>
    <m/>
    <n v="1"/>
    <n v="11.375"/>
    <n v="11.375"/>
    <n v="13195"/>
    <n v="13195"/>
    <n v="13195"/>
    <n v="13195"/>
    <n v="1"/>
    <n v="1"/>
    <n v="0"/>
    <n v="0"/>
    <n v="13195"/>
    <x v="9"/>
  </r>
  <r>
    <s v="ENG-1110 Finalize Basis of Design"/>
    <d v="2024-10-07T08:00:00"/>
    <d v="2024-10-17T17:00:00"/>
    <d v="2024-10-07T08:00:00"/>
    <d v="2024-10-17T17:00:00"/>
    <s v="ENG - Process Engineer"/>
    <n v="1"/>
    <n v="135"/>
    <m/>
    <n v="1"/>
    <n v="10.375"/>
    <n v="10.375"/>
    <n v="11205"/>
    <n v="11205"/>
    <n v="11205"/>
    <n v="11205"/>
    <n v="1"/>
    <n v="1"/>
    <n v="0"/>
    <n v="0"/>
    <n v="11205"/>
    <x v="9"/>
  </r>
  <r>
    <s v="ENG-1120 Design Criteria"/>
    <d v="2024-10-18T08:00:00"/>
    <d v="2024-10-29T17:00:00"/>
    <d v="2024-10-18T08:00:00"/>
    <d v="2024-10-29T17:00:00"/>
    <s v="ENG - Process Engineer"/>
    <n v="1"/>
    <n v="135"/>
    <m/>
    <n v="1"/>
    <n v="11.375"/>
    <n v="11.375"/>
    <n v="12285"/>
    <n v="12285"/>
    <n v="12285"/>
    <n v="12285"/>
    <n v="1"/>
    <n v="1"/>
    <n v="0"/>
    <n v="0"/>
    <n v="12285"/>
    <x v="9"/>
  </r>
  <r>
    <s v="ENG-1130 Model Setup"/>
    <d v="2024-10-07T08:00:00"/>
    <d v="2024-10-16T17:00:00"/>
    <d v="2024-10-07T08:00:00"/>
    <d v="2024-10-16T17:00:00"/>
    <s v="ENG - CAD/Designer"/>
    <n v="1"/>
    <n v="85"/>
    <m/>
    <n v="1"/>
    <n v="9.375"/>
    <n v="9.375"/>
    <n v="6375"/>
    <n v="6375"/>
    <n v="6375"/>
    <n v="6375"/>
    <n v="1"/>
    <n v="1"/>
    <n v="0"/>
    <n v="0"/>
    <n v="6375"/>
    <x v="9"/>
  </r>
  <r>
    <s v="ENG-1140 30% Design Review"/>
    <d v="2025-02-05T08:00:00"/>
    <d v="2025-02-14T17:00:00"/>
    <d v="2025-02-05T08:00:00"/>
    <d v="2025-02-14T17:00:00"/>
    <s v="ENG - Engineering Manager"/>
    <n v="1"/>
    <n v="145"/>
    <m/>
    <n v="1"/>
    <n v="9.375"/>
    <n v="9.375"/>
    <n v="10875"/>
    <n v="10875"/>
    <n v="10875"/>
    <n v="10875"/>
    <n v="1"/>
    <n v="1"/>
    <n v="0"/>
    <n v="0"/>
    <n v="10875"/>
    <x v="10"/>
  </r>
  <r>
    <s v="ENG-1150 60% Design Review"/>
    <d v="2025-04-10T08:00:00"/>
    <d v="2025-04-21T17:00:00"/>
    <d v="2025-04-10T08:00:00"/>
    <d v="2025-04-22T08:00:00"/>
    <s v="ENG - Engineering Manager"/>
    <n v="1"/>
    <n v="145"/>
    <m/>
    <n v="1"/>
    <n v="11.375"/>
    <n v="12"/>
    <n v="13195"/>
    <n v="13920"/>
    <n v="13195"/>
    <n v="13195"/>
    <n v="0.94791666666666663"/>
    <n v="1"/>
    <n v="-725"/>
    <n v="0"/>
    <n v="13920"/>
    <x v="11"/>
  </r>
  <r>
    <s v="ENG-1160 90% Design Review"/>
    <d v="2025-05-21T08:00:00"/>
    <d v="2025-05-30T17:00:00"/>
    <d v="2025-05-21T00:00:00"/>
    <d v="2025-06-04T08:00:00"/>
    <s v="ENG - Engineering Manager"/>
    <n v="1"/>
    <n v="145"/>
    <m/>
    <n v="1"/>
    <n v="9.375"/>
    <n v="14.333333333299379"/>
    <n v="10875"/>
    <n v="16626.666666627279"/>
    <n v="10875"/>
    <n v="10875"/>
    <n v="0.65406976744340994"/>
    <n v="1"/>
    <n v="-5751.6666666272795"/>
    <n v="0"/>
    <n v="16626.666666627279"/>
    <x v="12"/>
  </r>
  <r>
    <s v="ENG-1200 PFD Development"/>
    <d v="2024-10-18T08:00:00"/>
    <d v="2024-11-05T17:00:00"/>
    <d v="2024-10-18T08:00:00"/>
    <d v="2024-11-05T17:00:00"/>
    <s v="ENG - Process Engineer"/>
    <n v="1"/>
    <n v="135"/>
    <m/>
    <n v="1"/>
    <n v="18.375"/>
    <n v="18.375"/>
    <n v="19845"/>
    <n v="19845"/>
    <n v="19845"/>
    <n v="19845"/>
    <n v="1"/>
    <n v="1"/>
    <n v="0"/>
    <n v="0"/>
    <n v="19845"/>
    <x v="13"/>
  </r>
  <r>
    <s v="ENG-1210 Heat&amp; Material Balance"/>
    <d v="2024-11-08T08:00:00"/>
    <d v="2024-11-21T17:00:00"/>
    <d v="2024-11-08T08:00:00"/>
    <d v="2024-11-21T17:00:00"/>
    <s v="ENG - Process Engineer"/>
    <n v="1"/>
    <n v="135"/>
    <m/>
    <n v="1"/>
    <n v="13.375"/>
    <n v="13.375"/>
    <n v="14445"/>
    <n v="14445"/>
    <n v="14445"/>
    <n v="14445"/>
    <n v="1"/>
    <n v="1"/>
    <n v="0"/>
    <n v="0"/>
    <n v="14445"/>
    <x v="13"/>
  </r>
  <r>
    <s v="ENG-1220 P&amp;ID Development"/>
    <d v="2024-11-20T08:00:00"/>
    <d v="2024-12-26T17:00:00"/>
    <d v="2024-11-20T08:00:00"/>
    <d v="2024-12-26T17:00:00"/>
    <s v="ENG - Process Engineer"/>
    <n v="1"/>
    <n v="135"/>
    <m/>
    <n v="1"/>
    <n v="36.375"/>
    <n v="36.375"/>
    <n v="39285"/>
    <n v="39285"/>
    <n v="39285"/>
    <n v="39285"/>
    <n v="1"/>
    <n v="1"/>
    <n v="0"/>
    <n v="0"/>
    <n v="39285"/>
    <x v="14"/>
  </r>
  <r>
    <s v="ENG-1230 Control Philosophy"/>
    <d v="2024-12-30T08:00:00"/>
    <d v="2025-01-10T17:00:00"/>
    <d v="2024-12-30T08:00:00"/>
    <d v="2025-01-10T17:00:00"/>
    <s v="ENG - Instrument/Controls Engineer"/>
    <n v="1"/>
    <n v="135"/>
    <m/>
    <n v="1"/>
    <n v="11.375"/>
    <n v="11.375"/>
    <n v="12285"/>
    <n v="12285"/>
    <n v="12285"/>
    <n v="12285"/>
    <n v="1"/>
    <n v="1"/>
    <n v="0"/>
    <n v="0"/>
    <n v="12285"/>
    <x v="15"/>
  </r>
  <r>
    <s v="ENG-1240 Relief Review"/>
    <d v="2024-12-27T08:00:00"/>
    <d v="2025-01-02T17:00:00"/>
    <d v="2024-12-27T08:00:00"/>
    <d v="2025-01-02T17:00:00"/>
    <s v="ENG - Process Engineer"/>
    <n v="1"/>
    <n v="135"/>
    <m/>
    <n v="1"/>
    <n v="6.375"/>
    <n v="6.375"/>
    <n v="6885"/>
    <n v="6885"/>
    <n v="6885"/>
    <n v="6885"/>
    <n v="1"/>
    <n v="1"/>
    <n v="0"/>
    <n v="0"/>
    <n v="6885"/>
    <x v="15"/>
  </r>
  <r>
    <s v="ENG-1250 Cause&amp; Effect Draft"/>
    <d v="2025-01-10T08:00:00"/>
    <d v="2025-01-27T17:00:00"/>
    <d v="2025-01-10T08:00:00"/>
    <d v="2025-01-27T17:00:00"/>
    <s v="ENG - Instrument/Controls Engineer"/>
    <n v="1"/>
    <n v="135"/>
    <m/>
    <n v="1"/>
    <n v="17.375"/>
    <n v="17.375"/>
    <n v="18765"/>
    <n v="18765"/>
    <n v="18765"/>
    <n v="18765"/>
    <n v="1"/>
    <n v="1"/>
    <n v="0"/>
    <n v="0"/>
    <n v="18765"/>
    <x v="15"/>
  </r>
  <r>
    <s v="ENG-1260 HAZOP Prep"/>
    <d v="2024-12-27T08:00:00"/>
    <d v="2024-12-31T17:00:00"/>
    <d v="2024-12-27T08:00:00"/>
    <d v="2024-12-31T17:00:00"/>
    <s v="ENG - Process Engineer"/>
    <n v="1"/>
    <n v="135"/>
    <m/>
    <n v="1"/>
    <n v="4.375"/>
    <n v="4.375"/>
    <n v="4725"/>
    <n v="4725"/>
    <n v="4725"/>
    <n v="4725"/>
    <n v="1"/>
    <n v="1"/>
    <n v="0"/>
    <n v="0"/>
    <n v="4725"/>
    <x v="14"/>
  </r>
  <r>
    <s v="ENG-1270 HAZOP Session"/>
    <d v="2024-12-31T08:00:00"/>
    <d v="2025-01-09T17:00:00"/>
    <d v="2024-12-31T08:00:00"/>
    <d v="2025-01-09T17:00:00"/>
    <s v="ENG - Process Engineer"/>
    <n v="1"/>
    <n v="135"/>
    <m/>
    <n v="1"/>
    <n v="9.375"/>
    <n v="9.375"/>
    <n v="10125"/>
    <n v="10125"/>
    <n v="10125"/>
    <n v="10125"/>
    <n v="1"/>
    <n v="1"/>
    <n v="0"/>
    <n v="0"/>
    <n v="10125"/>
    <x v="15"/>
  </r>
  <r>
    <s v="ENG-1280 HAZOP Closeout"/>
    <d v="2025-01-10T08:00:00"/>
    <d v="2025-01-28T17:00:00"/>
    <d v="2025-01-10T08:00:00"/>
    <d v="2025-01-28T17:00:00"/>
    <s v="ENG - Process Engineer"/>
    <n v="1"/>
    <n v="135"/>
    <m/>
    <n v="1"/>
    <n v="18.375"/>
    <n v="18.375"/>
    <n v="19845"/>
    <n v="19845"/>
    <n v="19845"/>
    <n v="19845"/>
    <n v="1"/>
    <n v="1"/>
    <n v="0"/>
    <n v="0"/>
    <n v="19845"/>
    <x v="15"/>
  </r>
  <r>
    <s v="ENG-1300 Equipment List"/>
    <d v="2024-12-27T08:00:00"/>
    <d v="2025-01-14T17:00:00"/>
    <d v="2024-12-27T08:00:00"/>
    <d v="2025-01-14T17:00:00"/>
    <s v="ENG - Mechanical Engineer"/>
    <n v="1"/>
    <n v="135"/>
    <m/>
    <n v="1"/>
    <n v="18.375"/>
    <n v="18.375"/>
    <n v="19845"/>
    <n v="19845"/>
    <n v="19845"/>
    <n v="19845"/>
    <n v="1"/>
    <n v="1"/>
    <n v="0"/>
    <n v="0"/>
    <n v="19845"/>
    <x v="15"/>
  </r>
  <r>
    <s v="ENG-1310 Compressor Datasheets"/>
    <d v="2025-01-15T08:00:00"/>
    <d v="2025-01-29T17:00:00"/>
    <d v="2025-01-15T08:00:00"/>
    <d v="2025-01-29T17:00:00"/>
    <s v="ENG - Mechanical Engineer"/>
    <n v="1"/>
    <n v="135"/>
    <m/>
    <n v="1"/>
    <n v="14.375"/>
    <n v="14.375"/>
    <n v="15525"/>
    <n v="15525"/>
    <n v="15525"/>
    <n v="15525"/>
    <n v="1"/>
    <n v="1"/>
    <n v="0"/>
    <n v="0"/>
    <n v="15525"/>
    <x v="15"/>
  </r>
  <r>
    <s v="ENG-1320 Separator Datasheets"/>
    <d v="2025-01-15T08:00:00"/>
    <d v="2025-01-29T17:00:00"/>
    <d v="2025-01-15T08:00:00"/>
    <d v="2025-01-29T17:00:00"/>
    <s v="ENG - Mechanical Engineer"/>
    <n v="1"/>
    <n v="135"/>
    <m/>
    <n v="1"/>
    <n v="14.375"/>
    <n v="14.375"/>
    <n v="15525"/>
    <n v="15525"/>
    <n v="15525"/>
    <n v="15525"/>
    <n v="1"/>
    <n v="1"/>
    <n v="0"/>
    <n v="0"/>
    <n v="15525"/>
    <x v="15"/>
  </r>
  <r>
    <s v="ENG-1330 Dehydration Datasheets"/>
    <d v="2025-01-15T08:00:00"/>
    <d v="2025-01-28T17:00:00"/>
    <d v="2025-01-15T08:00:00"/>
    <d v="2025-01-28T17:00:00"/>
    <s v="ENG - Mechanical Engineer"/>
    <n v="1"/>
    <n v="135"/>
    <m/>
    <n v="1"/>
    <n v="13.375"/>
    <n v="13.375"/>
    <n v="14445"/>
    <n v="14445"/>
    <n v="14445"/>
    <n v="14445"/>
    <n v="1"/>
    <n v="1"/>
    <n v="0"/>
    <n v="0"/>
    <n v="14445"/>
    <x v="15"/>
  </r>
  <r>
    <s v="ENG-1340 Cooler Datasheets"/>
    <d v="2025-01-15T08:00:00"/>
    <d v="2025-01-28T17:00:00"/>
    <d v="2025-01-15T08:00:00"/>
    <d v="2025-01-28T17:00:00"/>
    <s v="ENG - Mechanical Engineer"/>
    <n v="1"/>
    <n v="135"/>
    <m/>
    <n v="1"/>
    <n v="13.375"/>
    <n v="13.375"/>
    <n v="14445"/>
    <n v="14445"/>
    <n v="14445"/>
    <n v="14445"/>
    <n v="1"/>
    <n v="1"/>
    <n v="0"/>
    <n v="0"/>
    <n v="14445"/>
    <x v="15"/>
  </r>
  <r>
    <s v="ENG-1350 Valve List"/>
    <d v="2025-01-22T08:00:00"/>
    <d v="2025-01-29T17:00:00"/>
    <d v="2025-01-22T08:00:00"/>
    <d v="2025-01-29T17:00:00"/>
    <s v="ENG - Mechanical Engineer"/>
    <n v="1"/>
    <n v="135"/>
    <m/>
    <n v="1"/>
    <n v="7.375"/>
    <n v="7.375"/>
    <n v="7965"/>
    <n v="7965"/>
    <n v="7965"/>
    <n v="7965"/>
    <n v="1"/>
    <n v="1"/>
    <n v="0"/>
    <n v="0"/>
    <n v="7965"/>
    <x v="15"/>
  </r>
  <r>
    <s v="ENG-1360 Line List"/>
    <d v="2024-12-27T08:00:00"/>
    <d v="2025-01-21T17:00:00"/>
    <d v="2024-12-27T08:00:00"/>
    <d v="2025-01-21T17:00:00"/>
    <s v="ENG - Mechanical Engineer"/>
    <n v="1"/>
    <n v="135"/>
    <m/>
    <n v="1"/>
    <n v="25.375"/>
    <n v="25.375"/>
    <n v="27405"/>
    <n v="27405"/>
    <n v="27405"/>
    <n v="27405"/>
    <n v="1"/>
    <n v="1"/>
    <n v="0"/>
    <n v="0"/>
    <n v="27405"/>
    <x v="15"/>
  </r>
  <r>
    <s v="ENG-1370 Piping Classes"/>
    <d v="2025-01-22T08:00:00"/>
    <d v="2025-02-07T17:00:00"/>
    <d v="2025-01-22T08:00:00"/>
    <d v="2025-02-07T17:00:00"/>
    <s v="ENG - Mechanical Engineer"/>
    <n v="1"/>
    <n v="135"/>
    <m/>
    <n v="1"/>
    <n v="16.375"/>
    <n v="16.375"/>
    <n v="17685"/>
    <n v="17685"/>
    <n v="17685"/>
    <n v="17685"/>
    <n v="1"/>
    <n v="1"/>
    <n v="0"/>
    <n v="0"/>
    <n v="17685"/>
    <x v="10"/>
  </r>
  <r>
    <s v="ENG-1380 BIM Model 30%"/>
    <d v="2025-02-10T08:00:00"/>
    <d v="2025-03-03T17:00:00"/>
    <d v="2025-02-10T08:00:00"/>
    <d v="2025-03-03T17:00:00"/>
    <s v="ENG - CAD/Designer"/>
    <n v="1"/>
    <n v="85"/>
    <m/>
    <n v="1"/>
    <n v="21.375"/>
    <n v="21.375"/>
    <n v="14535"/>
    <n v="14535"/>
    <n v="14535"/>
    <n v="14535"/>
    <n v="1"/>
    <n v="1"/>
    <n v="0"/>
    <n v="0"/>
    <n v="14535"/>
    <x v="16"/>
  </r>
  <r>
    <s v="ENG-1390 BIM Model 60%"/>
    <d v="2025-03-04T08:00:00"/>
    <d v="2025-03-31T17:00:00"/>
    <d v="2025-03-04T08:00:00"/>
    <s v=""/>
    <s v="ENG - CAD/Designer"/>
    <n v="0.1"/>
    <n v="85"/>
    <m/>
    <n v="1"/>
    <n v="27.375"/>
    <n v="0"/>
    <n v="18615"/>
    <n v="0"/>
    <n v="18615"/>
    <n v="1861.5"/>
    <s v=""/>
    <n v="0.1"/>
    <n v="1861.5"/>
    <n v="-16753.5"/>
    <n v="16753.5"/>
    <x v="16"/>
  </r>
  <r>
    <s v="ENG-1400 BIM Model 90%"/>
    <d v="2025-04-01T08:00:00"/>
    <d v="2025-05-01T17:00:00"/>
    <d v="2025-04-01T08:00:00"/>
    <d v="2025-05-01T17:00:00"/>
    <s v="ENG - CAD/Designer"/>
    <n v="1"/>
    <n v="85"/>
    <m/>
    <n v="1"/>
    <n v="30.375"/>
    <n v="30.375"/>
    <n v="20655"/>
    <n v="20655"/>
    <n v="20655"/>
    <n v="20655"/>
    <n v="1"/>
    <n v="1"/>
    <n v="0"/>
    <n v="0"/>
    <n v="20655"/>
    <x v="12"/>
  </r>
  <r>
    <s v="ENG-1410 Isometrics Issued"/>
    <d v="2025-05-02T08:00:00"/>
    <d v="2025-05-20T17:00:00"/>
    <d v="2025-05-02T08:00:00"/>
    <d v="2025-05-20T17:00:00"/>
    <s v="ENG - CAD/Designer"/>
    <n v="1"/>
    <n v="85"/>
    <m/>
    <n v="1"/>
    <n v="18.375"/>
    <n v="18.375"/>
    <n v="12495"/>
    <n v="12495"/>
    <n v="12495"/>
    <n v="12495"/>
    <n v="1"/>
    <n v="1"/>
    <n v="0"/>
    <n v="0"/>
    <n v="12495"/>
    <x v="12"/>
  </r>
  <r>
    <s v="ENG-1420 Pipe Support Design"/>
    <d v="2025-05-21T08:00:00"/>
    <d v="2025-06-05T17:00:00"/>
    <d v="2025-05-21T08:00:00"/>
    <d v="2025-06-05T17:00:00"/>
    <s v="ENG - Mechanical Engineer"/>
    <n v="1"/>
    <n v="135"/>
    <m/>
    <n v="1"/>
    <n v="15.375"/>
    <n v="15.375"/>
    <n v="16605"/>
    <n v="16605"/>
    <n v="16605"/>
    <n v="16605"/>
    <n v="1"/>
    <n v="1"/>
    <n v="0"/>
    <n v="0"/>
    <n v="16605"/>
    <x v="1"/>
  </r>
  <r>
    <s v="ENG-1430 Mech Package IFC Issued"/>
    <s v=""/>
    <d v="2025-06-06T17:00:00"/>
    <s v=""/>
    <d v="2025-06-06T17:00:00"/>
    <s v=""/>
    <n v="1"/>
    <s v=""/>
    <m/>
    <n v="1"/>
    <n v="0"/>
    <n v="0"/>
    <n v="0"/>
    <n v="0"/>
    <n v="0"/>
    <n v="0"/>
    <s v=""/>
    <s v=""/>
    <n v="0"/>
    <n v="0"/>
    <n v="0"/>
    <x v="1"/>
  </r>
  <r>
    <s v="ENG-1500 Site Survey"/>
    <d v="2024-10-07T08:00:00"/>
    <d v="2024-10-15T17:00:00"/>
    <d v="2024-10-07T08:00:00"/>
    <d v="2024-10-15T17:00:00"/>
    <s v="ENG - Civil/Structural Engineer"/>
    <n v="1"/>
    <n v="135"/>
    <m/>
    <n v="1"/>
    <n v="8.375"/>
    <n v="8.375"/>
    <n v="9045"/>
    <n v="9045"/>
    <n v="9045"/>
    <n v="9045"/>
    <n v="1"/>
    <n v="1"/>
    <n v="0"/>
    <n v="0"/>
    <n v="9045"/>
    <x v="9"/>
  </r>
  <r>
    <s v="ENG-1510 Geotech Review"/>
    <d v="2024-10-16T08:00:00"/>
    <d v="2024-10-22T17:00:00"/>
    <d v="2024-10-16T08:00:00"/>
    <d v="2024-10-22T17:00:00"/>
    <s v="ENG - Civil/Structural Engineer"/>
    <n v="1"/>
    <n v="135"/>
    <m/>
    <n v="1"/>
    <n v="6.375"/>
    <n v="6.375"/>
    <n v="6885"/>
    <n v="6885"/>
    <n v="6885"/>
    <n v="6885"/>
    <n v="1"/>
    <n v="1"/>
    <n v="0"/>
    <n v="0"/>
    <n v="6885"/>
    <x v="9"/>
  </r>
  <r>
    <s v="ENG-1520 Grading Plan"/>
    <d v="2024-10-23T08:00:00"/>
    <d v="2024-11-08T17:00:00"/>
    <d v="2024-10-23T08:00:00"/>
    <d v="2024-11-08T17:00:00"/>
    <s v="ENG - Civil/Structural Engineer"/>
    <n v="1"/>
    <n v="135"/>
    <m/>
    <n v="1"/>
    <n v="16.375"/>
    <n v="16.375"/>
    <n v="17685"/>
    <n v="17685"/>
    <n v="17685"/>
    <n v="17685"/>
    <n v="1"/>
    <n v="1"/>
    <n v="0"/>
    <n v="0"/>
    <n v="17685"/>
    <x v="13"/>
  </r>
  <r>
    <s v="ENG-1530 Foundations Design"/>
    <d v="2024-10-23T08:00:00"/>
    <d v="2024-11-19T17:00:00"/>
    <d v="2024-10-23T08:00:00"/>
    <d v="2024-11-19T17:00:00"/>
    <s v="ENG - Civil/Structural Engineer"/>
    <n v="1"/>
    <n v="135"/>
    <m/>
    <n v="1"/>
    <n v="27.375"/>
    <n v="27.375"/>
    <n v="29565"/>
    <n v="29565"/>
    <n v="29565"/>
    <n v="29565"/>
    <n v="1"/>
    <n v="1"/>
    <n v="0"/>
    <n v="0"/>
    <n v="29565"/>
    <x v="13"/>
  </r>
  <r>
    <s v="ENG-1540 Steel Design"/>
    <d v="2024-11-20T08:00:00"/>
    <d v="2024-12-12T17:00:00"/>
    <d v="2024-11-20T08:00:00"/>
    <d v="2024-12-12T17:00:00"/>
    <s v="ENG - Civil/Structural Engineer"/>
    <n v="1"/>
    <n v="135"/>
    <m/>
    <n v="1"/>
    <n v="22.375"/>
    <n v="22.375"/>
    <n v="24165"/>
    <n v="24165"/>
    <n v="24165"/>
    <n v="24165"/>
    <n v="1"/>
    <n v="1"/>
    <n v="0"/>
    <n v="0"/>
    <n v="24165"/>
    <x v="14"/>
  </r>
  <r>
    <s v="ENG-1550 Anchor Bolt Plans"/>
    <d v="2024-12-13T08:00:00"/>
    <d v="2025-01-01T17:00:00"/>
    <d v="2024-12-13T08:00:00"/>
    <d v="2025-01-01T17:00:00"/>
    <s v="ENG - Civil/Structural Engineer"/>
    <n v="1"/>
    <n v="135"/>
    <m/>
    <n v="1"/>
    <n v="19.375"/>
    <n v="19.375"/>
    <n v="20925"/>
    <n v="20925"/>
    <n v="20925"/>
    <n v="20925"/>
    <n v="1"/>
    <n v="1"/>
    <n v="0"/>
    <n v="0"/>
    <n v="20925"/>
    <x v="15"/>
  </r>
  <r>
    <s v="ENG-1560 Steel Connection Details"/>
    <d v="2024-12-13T08:00:00"/>
    <d v="2024-12-26T17:00:00"/>
    <d v="2024-12-13T08:00:00"/>
    <d v="2024-12-26T17:00:00"/>
    <s v="ENG - Civil/Structural Engineer"/>
    <n v="1"/>
    <n v="135"/>
    <m/>
    <n v="1"/>
    <n v="13.375"/>
    <n v="13.375"/>
    <n v="14445"/>
    <n v="14445"/>
    <n v="14445"/>
    <n v="14445"/>
    <n v="1"/>
    <n v="1"/>
    <n v="0"/>
    <n v="0"/>
    <n v="14445"/>
    <x v="14"/>
  </r>
  <r>
    <s v="ENG-1570 Structural IFC Issued"/>
    <s v=""/>
    <d v="2025-01-02T17:00:00"/>
    <s v=""/>
    <d v="2025-01-02T17:00:00"/>
    <s v=""/>
    <n v="1"/>
    <s v=""/>
    <m/>
    <n v="1"/>
    <n v="0"/>
    <n v="0"/>
    <n v="0"/>
    <n v="0"/>
    <n v="0"/>
    <n v="0"/>
    <s v=""/>
    <s v=""/>
    <n v="0"/>
    <n v="0"/>
    <n v="0"/>
    <x v="15"/>
  </r>
  <r>
    <s v="ENG-1600 Load Study"/>
    <d v="2025-01-15T08:00:00"/>
    <d v="2025-02-04T17:00:00"/>
    <d v="2025-01-15T08:00:00"/>
    <d v="2025-02-04T17:00:00"/>
    <s v="ENG - Electrical Engineer"/>
    <n v="1"/>
    <n v="135"/>
    <m/>
    <n v="1"/>
    <n v="20.375"/>
    <n v="20.375"/>
    <n v="22005"/>
    <n v="22005"/>
    <n v="22005"/>
    <n v="22005"/>
    <n v="1"/>
    <n v="1"/>
    <n v="0"/>
    <n v="0"/>
    <n v="22005"/>
    <x v="10"/>
  </r>
  <r>
    <s v="ENG-1610 Single-Line Diagrams"/>
    <d v="2025-02-05T08:00:00"/>
    <d v="2025-02-26T17:00:00"/>
    <d v="2025-02-05T08:00:00"/>
    <d v="2025-02-26T17:00:00"/>
    <s v="ENG - Electrical Engineer"/>
    <n v="1"/>
    <n v="135"/>
    <m/>
    <n v="1"/>
    <n v="21.375"/>
    <n v="21.375"/>
    <n v="23085"/>
    <n v="23085"/>
    <n v="23085"/>
    <n v="23085"/>
    <n v="1"/>
    <n v="1"/>
    <n v="0"/>
    <n v="0"/>
    <n v="23085"/>
    <x v="10"/>
  </r>
  <r>
    <s v="ENG-1620 MCC Sizing"/>
    <d v="2025-02-27T08:00:00"/>
    <d v="2025-03-12T17:00:00"/>
    <d v="2025-02-27T08:00:00"/>
    <s v=""/>
    <s v="ENG - Electrical Engineer"/>
    <n v="0.4"/>
    <n v="135"/>
    <m/>
    <n v="1"/>
    <n v="13.375"/>
    <n v="0"/>
    <n v="14445"/>
    <n v="0"/>
    <n v="14445"/>
    <n v="5778"/>
    <s v=""/>
    <n v="0.4"/>
    <n v="5778"/>
    <n v="-8667"/>
    <n v="8667"/>
    <x v="16"/>
  </r>
  <r>
    <s v="ENG-1630 Cable Schedule"/>
    <d v="2025-03-13T08:00:00"/>
    <d v="2025-04-03T17:00:00"/>
    <d v="2025-03-13T08:00:00"/>
    <d v="2025-04-03T17:00:00"/>
    <s v="ENG - Electrical Engineer"/>
    <n v="1"/>
    <n v="135"/>
    <m/>
    <n v="1"/>
    <n v="21.375"/>
    <n v="21.375"/>
    <n v="23085"/>
    <n v="23085"/>
    <n v="23085"/>
    <n v="23085"/>
    <n v="1"/>
    <n v="1"/>
    <n v="0"/>
    <n v="0"/>
    <n v="23085"/>
    <x v="11"/>
  </r>
  <r>
    <s v="ENG-1640 Grounding Design"/>
    <d v="2024-11-11T08:00:00"/>
    <d v="2024-11-25T17:00:00"/>
    <d v="2024-11-11T08:00:00"/>
    <d v="2024-11-25T17:00:00"/>
    <s v="ENG - Electrical Engineer"/>
    <n v="1"/>
    <n v="135"/>
    <m/>
    <n v="1"/>
    <n v="14.375"/>
    <n v="14.375"/>
    <n v="15525"/>
    <n v="15525"/>
    <n v="15525"/>
    <n v="15525"/>
    <n v="1"/>
    <n v="1"/>
    <n v="0"/>
    <n v="0"/>
    <n v="15525"/>
    <x v="13"/>
  </r>
  <r>
    <s v="ENG-1650 Area Classification"/>
    <d v="2024-12-27T08:00:00"/>
    <d v="2025-01-08T17:00:00"/>
    <d v="2024-12-27T08:00:00"/>
    <d v="2025-01-08T17:00:00"/>
    <s v="ENG - Electrical Engineer"/>
    <n v="1"/>
    <n v="135"/>
    <m/>
    <n v="1"/>
    <n v="12.375"/>
    <n v="12.375"/>
    <n v="13365"/>
    <n v="13365"/>
    <n v="13365"/>
    <n v="13365"/>
    <n v="1"/>
    <n v="1"/>
    <n v="0"/>
    <n v="0"/>
    <n v="13365"/>
    <x v="15"/>
  </r>
  <r>
    <s v="ENG-1660 Substation Upgrade"/>
    <d v="2025-03-13T08:00:00"/>
    <d v="2025-04-09T17:00:00"/>
    <d v="2025-03-13T08:00:00"/>
    <d v="2025-04-10T17:00:00"/>
    <s v="ENG - Electrical Engineer"/>
    <n v="1"/>
    <n v="135"/>
    <m/>
    <n v="1"/>
    <n v="27.375"/>
    <n v="28.375"/>
    <n v="29565"/>
    <n v="30645"/>
    <n v="29565"/>
    <n v="29565"/>
    <n v="0.96475770925110127"/>
    <n v="1"/>
    <n v="-1080"/>
    <n v="0"/>
    <n v="30645"/>
    <x v="11"/>
  </r>
  <r>
    <s v="ENG-1670 Electrical IFC Issued"/>
    <d v="2025-04-10T08:00:00"/>
    <s v=""/>
    <d v="2025-04-10T08:00:00"/>
    <s v=""/>
    <s v=""/>
    <n v="1"/>
    <s v=""/>
    <m/>
    <n v="1"/>
    <n v="0"/>
    <n v="0"/>
    <n v="0"/>
    <n v="0"/>
    <n v="0"/>
    <n v="0"/>
    <s v=""/>
    <s v=""/>
    <n v="0"/>
    <n v="0"/>
    <n v="0"/>
    <x v="11"/>
  </r>
  <r>
    <s v="ENG-1700 Instrument Index"/>
    <d v="2024-12-27T08:00:00"/>
    <d v="2025-01-17T17:00:00"/>
    <d v="2024-12-27T08:00:00"/>
    <d v="2025-01-17T17:00:00"/>
    <s v="ENG - Instrument/Controls Engineer"/>
    <n v="1"/>
    <n v="135"/>
    <m/>
    <n v="1"/>
    <n v="21.375"/>
    <n v="21.375"/>
    <n v="23085"/>
    <n v="23085"/>
    <n v="23085"/>
    <n v="23085"/>
    <n v="1"/>
    <n v="1"/>
    <n v="0"/>
    <n v="0"/>
    <n v="23085"/>
    <x v="15"/>
  </r>
  <r>
    <s v="ENG-1710 IO List"/>
    <d v="2025-01-20T08:00:00"/>
    <d v="2025-02-05T17:00:00"/>
    <d v="2025-01-20T08:00:00"/>
    <d v="2025-02-05T17:00:00"/>
    <s v="ENG - Instrument/Controls Engineer"/>
    <n v="1"/>
    <n v="135"/>
    <m/>
    <n v="1"/>
    <n v="16.375"/>
    <n v="16.375"/>
    <n v="17685"/>
    <n v="17685"/>
    <n v="17685"/>
    <n v="17685"/>
    <n v="1"/>
    <n v="1"/>
    <n v="0"/>
    <n v="0"/>
    <n v="17685"/>
    <x v="10"/>
  </r>
  <r>
    <s v="ENG-1720 Loop Diagrams"/>
    <d v="2025-02-06T08:00:00"/>
    <d v="2025-03-07T17:00:00"/>
    <d v="2025-02-06T08:00:00"/>
    <s v=""/>
    <s v="ENG - Instrument/Controls Engineer"/>
    <n v="0.90910000000000002"/>
    <n v="135"/>
    <m/>
    <n v="1"/>
    <n v="29.375"/>
    <n v="0"/>
    <n v="31725"/>
    <n v="0"/>
    <n v="31725"/>
    <n v="28841.197500000002"/>
    <s v=""/>
    <n v="0.90910000000000002"/>
    <n v="28841.197500000002"/>
    <n v="-2883.802499999998"/>
    <n v="2883.802499999998"/>
    <x v="16"/>
  </r>
  <r>
    <s v="ENG-1730 Control Narrative"/>
    <d v="2025-01-10T08:00:00"/>
    <d v="2025-01-30T17:00:00"/>
    <d v="2025-01-10T08:00:00"/>
    <d v="2025-01-30T17:00:00"/>
    <s v="ENG - Instrument/Controls Engineer"/>
    <n v="1"/>
    <n v="135"/>
    <m/>
    <n v="1"/>
    <n v="20.375"/>
    <n v="20.375"/>
    <n v="22005"/>
    <n v="22005"/>
    <n v="22005"/>
    <n v="22005"/>
    <n v="1"/>
    <n v="1"/>
    <n v="0"/>
    <n v="0"/>
    <n v="22005"/>
    <x v="15"/>
  </r>
  <r>
    <s v="ENG-1740 Cause&amp; Effect Final"/>
    <d v="2025-01-29T08:00:00"/>
    <d v="2025-02-14T17:00:00"/>
    <d v="2025-01-29T08:00:00"/>
    <d v="2025-02-14T17:00:00"/>
    <s v="ENG - Instrument/Controls Engineer"/>
    <n v="1"/>
    <n v="135"/>
    <m/>
    <n v="1"/>
    <n v="16.375"/>
    <n v="16.375"/>
    <n v="17685"/>
    <n v="17685"/>
    <n v="17685"/>
    <n v="17685"/>
    <n v="1"/>
    <n v="1"/>
    <n v="0"/>
    <n v="0"/>
    <n v="17685"/>
    <x v="10"/>
  </r>
  <r>
    <s v="ENG-1750 DCS Architecture"/>
    <d v="2025-02-10T08:00:00"/>
    <d v="2025-02-21T17:00:00"/>
    <d v="2025-02-10T08:00:00"/>
    <d v="2025-02-21T17:00:00"/>
    <s v="ENG - Instrument/Controls Engineer"/>
    <n v="1"/>
    <n v="135"/>
    <m/>
    <n v="1"/>
    <n v="11.375"/>
    <n v="11.375"/>
    <n v="12285"/>
    <n v="12285"/>
    <n v="12285"/>
    <n v="12285"/>
    <n v="1"/>
    <n v="1"/>
    <n v="0"/>
    <n v="0"/>
    <n v="12285"/>
    <x v="10"/>
  </r>
  <r>
    <s v="ENG-1760 Controls IFC Issued"/>
    <s v=""/>
    <d v="2025-03-10T17:00:00"/>
    <s v=""/>
    <d v="2025-03-11T17:00:00"/>
    <s v=""/>
    <n v="1"/>
    <s v=""/>
    <m/>
    <n v="1"/>
    <n v="0"/>
    <n v="0"/>
    <n v="0"/>
    <n v="0"/>
    <n v="0"/>
    <n v="0"/>
    <s v=""/>
    <s v=""/>
    <n v="0"/>
    <n v="0"/>
    <n v="0"/>
    <x v="16"/>
  </r>
  <r>
    <s v="ENG-1800 Route Selection"/>
    <d v="2024-10-07T08:00:00"/>
    <d v="2024-10-21T17:00:00"/>
    <d v="2024-10-07T08:00:00"/>
    <d v="2024-10-21T17:00:00"/>
    <s v="ENG - Pipeline Engineer"/>
    <n v="1"/>
    <n v="135"/>
    <m/>
    <n v="1"/>
    <n v="14.375"/>
    <n v="14.375"/>
    <n v="15525"/>
    <n v="15525"/>
    <n v="15525"/>
    <n v="15525"/>
    <n v="1"/>
    <n v="1"/>
    <n v="0"/>
    <n v="0"/>
    <n v="15525"/>
    <x v="9"/>
  </r>
  <r>
    <s v="ENG-1810 Environmental Screening"/>
    <d v="2024-10-22T08:00:00"/>
    <d v="2024-11-12T17:00:00"/>
    <d v="2024-10-22T08:00:00"/>
    <d v="2024-11-12T17:00:00"/>
    <s v="ENG - Pipeline Engineer"/>
    <n v="1"/>
    <n v="135"/>
    <m/>
    <n v="1"/>
    <n v="21.375"/>
    <n v="21.375"/>
    <n v="23085"/>
    <n v="23085"/>
    <n v="23085"/>
    <n v="23085"/>
    <n v="1"/>
    <n v="1"/>
    <n v="0"/>
    <n v="0"/>
    <n v="23085"/>
    <x v="13"/>
  </r>
  <r>
    <s v="ENG-1820 ROW Support"/>
    <d v="2024-11-13T08:00:00"/>
    <d v="2024-12-11T17:00:00"/>
    <d v="2024-11-13T08:00:00"/>
    <d v="2024-12-11T17:00:00"/>
    <s v="ENG - Pipeline Engineer"/>
    <n v="1"/>
    <n v="135"/>
    <m/>
    <n v="1"/>
    <n v="28.375"/>
    <n v="28.375"/>
    <n v="30645"/>
    <n v="30645"/>
    <n v="30645"/>
    <n v="30645"/>
    <n v="1"/>
    <n v="1"/>
    <n v="0"/>
    <n v="0"/>
    <n v="30645"/>
    <x v="14"/>
  </r>
  <r>
    <s v="ENG-1830 Watercourse Design"/>
    <d v="2024-11-13T08:00:00"/>
    <d v="2024-12-05T17:00:00"/>
    <d v="2024-11-13T08:00:00"/>
    <d v="2024-12-05T17:00:00"/>
    <s v="ENG - Pipeline Engineer"/>
    <n v="1"/>
    <n v="135"/>
    <m/>
    <n v="1"/>
    <n v="22.375"/>
    <n v="22.375"/>
    <n v="24165"/>
    <n v="24165"/>
    <n v="24165"/>
    <n v="24165"/>
    <n v="1"/>
    <n v="1"/>
    <n v="0"/>
    <n v="0"/>
    <n v="24165"/>
    <x v="14"/>
  </r>
  <r>
    <s v="ENG-1840 Wall Thickness Calc"/>
    <d v="2024-10-22T08:00:00"/>
    <d v="2024-11-08T17:00:00"/>
    <d v="2024-10-22T08:00:00"/>
    <d v="2024-11-08T17:00:00"/>
    <s v="ENG - Pipeline Engineer"/>
    <n v="1"/>
    <n v="135"/>
    <m/>
    <n v="1"/>
    <n v="17.375"/>
    <n v="17.375"/>
    <n v="18765"/>
    <n v="18765"/>
    <n v="18765"/>
    <n v="18765"/>
    <n v="1"/>
    <n v="1"/>
    <n v="0"/>
    <n v="0"/>
    <n v="18765"/>
    <x v="13"/>
  </r>
  <r>
    <s v="ENG-1850 Alignment Sheets Issued"/>
    <d v="2024-12-06T08:00:00"/>
    <d v="2025-01-06T17:00:00"/>
    <d v="2024-12-06T08:00:00"/>
    <d v="2025-01-06T17:00:00"/>
    <s v="ENG - Pipeline Engineer"/>
    <n v="1"/>
    <n v="135"/>
    <m/>
    <n v="1"/>
    <n v="31.375"/>
    <n v="31.375"/>
    <n v="33885"/>
    <n v="33885"/>
    <n v="33885"/>
    <n v="33885"/>
    <n v="1"/>
    <n v="1"/>
    <n v="0"/>
    <n v="0"/>
    <n v="33885"/>
    <x v="15"/>
  </r>
  <r>
    <s v="ENG-1860 Tie-In Details"/>
    <d v="2025-01-07T08:00:00"/>
    <d v="2025-01-30T17:00:00"/>
    <d v="2025-01-07T08:00:00"/>
    <d v="2025-01-30T17:00:00"/>
    <s v="ENG - Pipeline Engineer"/>
    <n v="1"/>
    <n v="135"/>
    <m/>
    <n v="1"/>
    <n v="23.375"/>
    <n v="23.375"/>
    <n v="25245"/>
    <n v="25245"/>
    <n v="25245"/>
    <n v="25245"/>
    <n v="1"/>
    <n v="1"/>
    <n v="0"/>
    <n v="0"/>
    <n v="25245"/>
    <x v="15"/>
  </r>
  <r>
    <s v="ENG-1870 Pipeline IFC Issued"/>
    <s v=""/>
    <d v="2025-01-31T17:00:00"/>
    <s v=""/>
    <d v="2025-01-31T17:00:00"/>
    <s v=""/>
    <n v="1"/>
    <s v=""/>
    <m/>
    <n v="1"/>
    <n v="0"/>
    <n v="0"/>
    <n v="0"/>
    <n v="0"/>
    <n v="0"/>
    <n v="0"/>
    <s v=""/>
    <s v=""/>
    <n v="0"/>
    <n v="0"/>
    <n v="0"/>
    <x v="15"/>
  </r>
  <r>
    <s v="REG-2000 Permit Strategy"/>
    <d v="2024-09-25T08:00:00"/>
    <d v="2024-10-07T17:00:00"/>
    <d v="2024-09-25T08:00:00"/>
    <d v="2024-10-07T17:00:00"/>
    <s v="REG - Permitting Lead"/>
    <n v="1"/>
    <n v="115"/>
    <m/>
    <n v="1"/>
    <n v="12.375"/>
    <n v="12.375"/>
    <n v="11385"/>
    <n v="11385"/>
    <n v="11385"/>
    <n v="11385"/>
    <n v="1"/>
    <n v="1"/>
    <n v="0"/>
    <n v="0"/>
    <n v="11385"/>
    <x v="9"/>
  </r>
  <r>
    <s v="REG-2010 Submit Approvals"/>
    <d v="2025-01-31T08:00:00"/>
    <d v="2025-02-19T17:00:00"/>
    <d v="2025-01-31T08:00:00"/>
    <d v="2025-02-19T17:00:00"/>
    <s v="REG - Permitting Lead"/>
    <n v="1"/>
    <n v="115"/>
    <m/>
    <n v="1"/>
    <n v="19.375"/>
    <n v="19.375"/>
    <n v="17825"/>
    <n v="17825"/>
    <n v="17825"/>
    <n v="17825"/>
    <n v="1"/>
    <n v="1"/>
    <n v="0"/>
    <n v="0"/>
    <n v="17825"/>
    <x v="10"/>
  </r>
  <r>
    <s v="REG-2020 Mitigation Plan"/>
    <d v="2024-11-13T08:00:00"/>
    <d v="2024-12-04T17:00:00"/>
    <d v="2024-11-13T08:00:00"/>
    <d v="2024-12-04T17:00:00"/>
    <s v="REG - Environmental Specialist"/>
    <n v="1"/>
    <n v="105"/>
    <m/>
    <n v="1"/>
    <n v="21.375"/>
    <n v="21.375"/>
    <n v="17955"/>
    <n v="17955"/>
    <n v="17955"/>
    <n v="17955"/>
    <n v="1"/>
    <n v="1"/>
    <n v="0"/>
    <n v="0"/>
    <n v="17955"/>
    <x v="14"/>
  </r>
  <r>
    <s v="REG-2030 Land Access Agreements"/>
    <d v="2024-12-12T08:00:00"/>
    <d v="2025-02-10T17:00:00"/>
    <d v="2024-12-12T08:00:00"/>
    <d v="2025-02-10T17:00:00"/>
    <s v="REG - Land Agent"/>
    <n v="1"/>
    <n v="95"/>
    <m/>
    <n v="1"/>
    <n v="60.375"/>
    <n v="60.375"/>
    <n v="45885"/>
    <n v="45885"/>
    <n v="45885"/>
    <n v="45885"/>
    <n v="1"/>
    <n v="1"/>
    <n v="0"/>
    <n v="0"/>
    <n v="45885"/>
    <x v="10"/>
  </r>
  <r>
    <s v="REG-2040 Indigenous Engagement"/>
    <d v="2024-12-12T08:00:00"/>
    <d v="2025-02-20T17:00:00"/>
    <d v="2024-12-12T08:00:00"/>
    <d v="2025-02-20T17:00:00"/>
    <s v="REG - Permitting Lead"/>
    <n v="1"/>
    <n v="115"/>
    <m/>
    <n v="1"/>
    <n v="70.375"/>
    <n v="70.375"/>
    <n v="64745"/>
    <n v="64745"/>
    <n v="64745"/>
    <n v="64745"/>
    <n v="1"/>
    <n v="1"/>
    <n v="0"/>
    <n v="0"/>
    <n v="64745"/>
    <x v="10"/>
  </r>
  <r>
    <s v="REG-2050 ROW Secured"/>
    <d v="2025-02-21T08:00:00"/>
    <d v="2025-02-24T17:00:00"/>
    <d v="2025-02-21T08:00:00"/>
    <d v="2025-02-24T17:00:00"/>
    <s v="REG - Land Agent"/>
    <n v="1"/>
    <n v="95"/>
    <m/>
    <n v="1"/>
    <n v="3.375"/>
    <n v="3.375"/>
    <n v="2565"/>
    <n v="2565"/>
    <n v="2565"/>
    <n v="2565"/>
    <n v="1"/>
    <n v="1"/>
    <n v="0"/>
    <n v="0"/>
    <n v="2565"/>
    <x v="10"/>
  </r>
  <r>
    <s v="REG-2060 Permits Approved"/>
    <d v="2025-02-20T08:00:00"/>
    <d v="2025-02-21T17:00:00"/>
    <d v="2025-02-20T08:00:00"/>
    <d v="2025-02-21T17:00:00"/>
    <s v=""/>
    <n v="1"/>
    <s v=""/>
    <m/>
    <n v="1"/>
    <n v="1.375"/>
    <n v="1.375"/>
    <n v="0"/>
    <n v="0"/>
    <n v="0"/>
    <n v="0"/>
    <s v=""/>
    <s v=""/>
    <n v="0"/>
    <n v="0"/>
    <n v="0"/>
    <x v="10"/>
  </r>
  <r>
    <s v="PRO-3000 RFQ (Compressor)"/>
    <d v="2025-01-30T08:00:00"/>
    <d v="2025-02-13T17:00:00"/>
    <d v="2025-01-30T08:00:00"/>
    <d v="2025-02-13T17:00:00"/>
    <s v="PROC - Procurement Lead"/>
    <n v="1"/>
    <n v="120"/>
    <m/>
    <n v="1"/>
    <n v="14.375"/>
    <n v="14.375"/>
    <n v="13800"/>
    <n v="13800"/>
    <n v="13800"/>
    <n v="13800"/>
    <n v="1"/>
    <n v="1"/>
    <n v="0"/>
    <n v="0"/>
    <n v="13800"/>
    <x v="10"/>
  </r>
  <r>
    <s v="PRO-3010 Tech Eval (Compressor)"/>
    <d v="2025-02-14T08:00:00"/>
    <d v="2025-02-21T17:00:00"/>
    <d v="2025-02-14T08:00:00"/>
    <d v="2025-02-21T17:00:00"/>
    <s v="ENG - Mechanical Engineer"/>
    <n v="1"/>
    <n v="135"/>
    <m/>
    <n v="1"/>
    <n v="7.375"/>
    <n v="7.375"/>
    <n v="7965"/>
    <n v="7965"/>
    <n v="7965"/>
    <n v="7965"/>
    <n v="1"/>
    <n v="1"/>
    <n v="0"/>
    <n v="0"/>
    <n v="7965"/>
    <x v="10"/>
  </r>
  <r>
    <s v="PRO-3020 Comm Eval (Compressor)"/>
    <d v="2025-02-24T08:00:00"/>
    <d v="2025-03-06T17:00:00"/>
    <d v="2025-02-24T08:00:00"/>
    <s v=""/>
    <s v="ENG - Mechanical Engineer"/>
    <n v="0.88890000000000002"/>
    <n v="135"/>
    <m/>
    <n v="1"/>
    <n v="10.375"/>
    <n v="0"/>
    <n v="11205"/>
    <n v="0"/>
    <n v="11205"/>
    <n v="9960.1244999999999"/>
    <s v=""/>
    <n v="0.88890000000000002"/>
    <n v="9960.1244999999999"/>
    <n v="-1244.8755000000001"/>
    <n v="1244.8755000000001"/>
    <x v="16"/>
  </r>
  <r>
    <s v="PRO-3030 Compressor PO Award"/>
    <d v="2025-03-07T08:00:00"/>
    <s v=""/>
    <d v="2025-03-07T08:00:00"/>
    <s v=""/>
    <s v=""/>
    <n v="1"/>
    <s v=""/>
    <m/>
    <n v="1"/>
    <n v="0"/>
    <n v="0"/>
    <n v="0"/>
    <n v="0"/>
    <n v="0"/>
    <n v="0"/>
    <s v=""/>
    <s v=""/>
    <n v="0"/>
    <n v="0"/>
    <n v="0"/>
    <x v="16"/>
  </r>
  <r>
    <s v="PRO-3030 Compressor Shop Drawings"/>
    <d v="2025-03-07T08:00:00"/>
    <d v="2025-03-26T17:00:00"/>
    <d v="2025-03-07T08:00:00"/>
    <d v="2025-04-01T17:00:00"/>
    <s v="ENG - Mechanical Engineer"/>
    <n v="1"/>
    <n v="135"/>
    <m/>
    <n v="1"/>
    <n v="19.375"/>
    <n v="25.375"/>
    <n v="20925"/>
    <n v="27405"/>
    <n v="20925"/>
    <n v="20925"/>
    <n v="0.76354679802955661"/>
    <n v="1"/>
    <n v="-6480"/>
    <n v="0"/>
    <n v="27405"/>
    <x v="16"/>
  </r>
  <r>
    <s v="PRO-3040 Vendor Review Cycle 1"/>
    <d v="2025-03-27T08:00:00"/>
    <d v="2025-04-08T17:00:00"/>
    <d v="2025-03-27T08:00:00"/>
    <d v="2025-04-10T17:00:00"/>
    <s v="ENG - Mechanical Engineer"/>
    <n v="1"/>
    <n v="135"/>
    <m/>
    <n v="1"/>
    <n v="12.375"/>
    <n v="14.375"/>
    <n v="13365"/>
    <n v="15525"/>
    <n v="13365"/>
    <n v="13365"/>
    <n v="0.86086956521739133"/>
    <n v="1"/>
    <n v="-2160"/>
    <n v="0"/>
    <n v="15525"/>
    <x v="11"/>
  </r>
  <r>
    <s v="PRO-3050 Vendor Review Cycle 2"/>
    <d v="2025-04-09T08:00:00"/>
    <d v="2025-04-17T17:00:00"/>
    <d v="2025-04-10T08:00:00"/>
    <d v="2025-04-18T17:00:00"/>
    <s v="ENG - Mechanical Engineer"/>
    <n v="1"/>
    <n v="135"/>
    <m/>
    <n v="1"/>
    <n v="8.375"/>
    <n v="8.375"/>
    <n v="9045"/>
    <n v="9045"/>
    <n v="9045"/>
    <n v="9045"/>
    <n v="1"/>
    <n v="1"/>
    <n v="0"/>
    <n v="0"/>
    <n v="9045"/>
    <x v="11"/>
  </r>
  <r>
    <s v="PRO-3060 Compressor Fabrication"/>
    <d v="2025-04-18T08:00:00"/>
    <d v="2025-09-16T17:00:00"/>
    <d v="2025-04-18T08:00:00"/>
    <d v="2025-09-16T17:00:00"/>
    <s v="MAT - Compressor Package"/>
    <n v="1"/>
    <s v=""/>
    <n v="62000000"/>
    <n v="1"/>
    <n v="151.375"/>
    <n v="151.375"/>
    <n v="62000000"/>
    <n v="62000000"/>
    <n v="62000000"/>
    <n v="62000000"/>
    <n v="1"/>
    <n v="1"/>
    <n v="0"/>
    <n v="0"/>
    <n v="62000000"/>
    <x v="17"/>
  </r>
  <r>
    <s v="PRO-3070 Compressor FAT"/>
    <d v="2025-09-17T08:00:00"/>
    <d v="2025-09-18T17:00:00"/>
    <d v="2025-09-17T08:00:00"/>
    <d v="2025-09-18T17:00:00"/>
    <s v="PROC - QA/QC Inspector"/>
    <n v="1"/>
    <n v="90"/>
    <m/>
    <n v="1"/>
    <n v="1.375"/>
    <n v="1.375"/>
    <n v="990"/>
    <n v="990"/>
    <n v="990"/>
    <n v="990"/>
    <n v="1"/>
    <n v="1"/>
    <n v="0"/>
    <n v="0"/>
    <n v="990"/>
    <x v="17"/>
  </r>
  <r>
    <s v="PRO-3080 Ship Compressor"/>
    <d v="2025-09-19T08:00:00"/>
    <d v="2025-09-30T17:00:00"/>
    <d v="2025-09-19T08:00:00"/>
    <d v="2025-09-30T17:00:00"/>
    <s v="PROC - Buyer/Expeditor"/>
    <n v="1"/>
    <n v="85"/>
    <m/>
    <n v="1"/>
    <n v="11.375"/>
    <n v="11.375"/>
    <n v="7735"/>
    <n v="7735"/>
    <n v="7735"/>
    <n v="7735"/>
    <n v="1"/>
    <n v="1"/>
    <n v="0"/>
    <n v="0"/>
    <n v="7735"/>
    <x v="17"/>
  </r>
  <r>
    <s v="PRO-3090 Compressor Received"/>
    <d v="2025-10-01T08:00:00"/>
    <d v="2025-10-01T17:00:00"/>
    <d v="2025-10-01T08:00:00"/>
    <d v="2025-10-06T17:00:00"/>
    <s v=""/>
    <n v="1"/>
    <s v=""/>
    <m/>
    <n v="1"/>
    <n v="0.375"/>
    <n v="5.375"/>
    <n v="0"/>
    <n v="0"/>
    <n v="0"/>
    <n v="0"/>
    <s v=""/>
    <s v=""/>
    <n v="0"/>
    <n v="0"/>
    <n v="0"/>
    <x v="2"/>
  </r>
  <r>
    <s v="PRO-3100 RFQ (Structural Steel)"/>
    <d v="2024-12-13T08:00:00"/>
    <d v="2024-12-20T17:00:00"/>
    <d v="2024-12-13T08:00:00"/>
    <d v="2024-12-20T17:00:00"/>
    <s v="PROC - Procurement Lead"/>
    <n v="1"/>
    <n v="120"/>
    <m/>
    <n v="1"/>
    <n v="7.375"/>
    <n v="7.375"/>
    <n v="7080"/>
    <n v="7080"/>
    <n v="7080"/>
    <n v="7080"/>
    <n v="1"/>
    <n v="1"/>
    <n v="0"/>
    <n v="0"/>
    <n v="7080"/>
    <x v="14"/>
  </r>
  <r>
    <s v="PRO-3110 Steel Award"/>
    <d v="2024-12-23T08:00:00"/>
    <s v=""/>
    <d v="2024-12-23T08:00:00"/>
    <s v=""/>
    <s v=""/>
    <n v="1"/>
    <s v=""/>
    <m/>
    <n v="1"/>
    <n v="0"/>
    <n v="0"/>
    <n v="0"/>
    <n v="0"/>
    <n v="0"/>
    <n v="0"/>
    <s v=""/>
    <s v=""/>
    <n v="0"/>
    <n v="0"/>
    <n v="0"/>
    <x v="14"/>
  </r>
  <r>
    <s v="PRO-3120 Steel Shop Drawings"/>
    <d v="2024-12-23T08:00:00"/>
    <d v="2025-01-15T17:00:00"/>
    <d v="2024-12-23T08:00:00"/>
    <d v="2025-01-15T17:00:00"/>
    <s v="ENG - Civil/Structural Engineer"/>
    <n v="1"/>
    <n v="135"/>
    <m/>
    <n v="1"/>
    <n v="23.375"/>
    <n v="23.375"/>
    <n v="25245"/>
    <n v="25245"/>
    <n v="25245"/>
    <n v="25245"/>
    <n v="1"/>
    <n v="1"/>
    <n v="0"/>
    <n v="0"/>
    <n v="25245"/>
    <x v="15"/>
  </r>
  <r>
    <s v="PRO-3140 Steel Fabrication"/>
    <d v="2024-09-25T08:00:00"/>
    <d v="2024-11-08T17:00:00"/>
    <d v="2024-09-25T08:00:00"/>
    <d v="2024-11-08T17:00:00"/>
    <s v="MAT - Structural Steel Supply"/>
    <n v="1"/>
    <s v=""/>
    <n v="2500000"/>
    <n v="1"/>
    <n v="44.375"/>
    <n v="44.375"/>
    <n v="2500000"/>
    <n v="2500000"/>
    <n v="2500000"/>
    <n v="2500000"/>
    <n v="1"/>
    <n v="1"/>
    <n v="0"/>
    <n v="0"/>
    <n v="2500000"/>
    <x v="13"/>
  </r>
  <r>
    <s v="PRO-3150 Deliver Steel"/>
    <d v="2024-11-11T08:00:00"/>
    <d v="2024-11-12T17:00:00"/>
    <d v="2025-03-14T08:00:00"/>
    <d v="2025-03-17T17:00:00"/>
    <s v="PROC - Buyer/Expeditor"/>
    <n v="1"/>
    <n v="85"/>
    <m/>
    <n v="1"/>
    <n v="1.375"/>
    <n v="3.375"/>
    <n v="935"/>
    <n v="2295"/>
    <n v="935"/>
    <n v="935"/>
    <n v="0.40740740740740738"/>
    <n v="1"/>
    <n v="-1360"/>
    <n v="0"/>
    <n v="2295"/>
    <x v="13"/>
  </r>
  <r>
    <s v="PRO-3160 RFQ (Piping Bulks)"/>
    <d v="2025-02-10T08:00:00"/>
    <d v="2025-02-18T17:00:00"/>
    <d v="2025-03-17T08:00:00"/>
    <d v="2025-03-25T17:00:00"/>
    <s v=""/>
    <n v="1"/>
    <s v=""/>
    <m/>
    <n v="1"/>
    <n v="8.375"/>
    <n v="8.375"/>
    <n v="0"/>
    <n v="0"/>
    <n v="0"/>
    <n v="0"/>
    <s v=""/>
    <s v=""/>
    <n v="0"/>
    <n v="0"/>
    <n v="0"/>
    <x v="10"/>
  </r>
  <r>
    <s v="PRO-3170 Piping Bulks Award"/>
    <d v="2025-02-19T08:00:00"/>
    <d v="2025-02-20T17:00:00"/>
    <d v="2025-03-25T08:00:00"/>
    <d v="2025-03-26T17:00:00"/>
    <s v="PROC - Procurement Lead"/>
    <n v="1"/>
    <n v="120"/>
    <m/>
    <n v="1"/>
    <n v="1.375"/>
    <n v="1.375"/>
    <n v="1320"/>
    <n v="1320"/>
    <n v="1320"/>
    <n v="1320"/>
    <n v="1"/>
    <n v="1"/>
    <n v="0"/>
    <n v="0"/>
    <n v="1320"/>
    <x v="10"/>
  </r>
  <r>
    <s v="PRO-3180 Receive Piping Bulks"/>
    <d v="2025-02-21T08:00:00"/>
    <d v="2025-03-19T17:00:00"/>
    <d v="2025-02-21T08:00:00"/>
    <s v=""/>
    <s v="PROC - Procurement Lead"/>
    <n v="0.47369999999999995"/>
    <n v="120"/>
    <m/>
    <n v="1"/>
    <n v="26.375"/>
    <n v="0"/>
    <n v="25320"/>
    <n v="0"/>
    <n v="25320"/>
    <n v="11994.083999999999"/>
    <s v=""/>
    <n v="0.47369999999999995"/>
    <n v="11994.083999999999"/>
    <n v="-13325.916000000001"/>
    <n v="13325.916000000001"/>
    <x v="16"/>
  </r>
  <r>
    <s v="PRO-3190 RFQ (E&amp;I Bulks)"/>
    <d v="2025-04-04T08:00:00"/>
    <d v="2025-04-10T17:00:00"/>
    <d v="2025-03-26T08:00:00"/>
    <d v="2025-04-11T17:00:00"/>
    <s v=""/>
    <n v="1"/>
    <s v=""/>
    <m/>
    <n v="1"/>
    <n v="6.375"/>
    <n v="16.375"/>
    <n v="0"/>
    <n v="0"/>
    <n v="0"/>
    <n v="0"/>
    <s v=""/>
    <s v=""/>
    <n v="0"/>
    <n v="0"/>
    <n v="0"/>
    <x v="11"/>
  </r>
  <r>
    <s v="PRO-3200 E&amp;I Bulks Award"/>
    <d v="2025-04-11T08:00:00"/>
    <s v=""/>
    <d v="2025-04-11T08:00:00"/>
    <s v=""/>
    <s v=""/>
    <n v="1"/>
    <s v=""/>
    <m/>
    <n v="1"/>
    <n v="0"/>
    <n v="0"/>
    <n v="0"/>
    <n v="0"/>
    <n v="0"/>
    <n v="0"/>
    <s v=""/>
    <s v=""/>
    <n v="0"/>
    <n v="0"/>
    <n v="0"/>
    <x v="11"/>
  </r>
  <r>
    <s v="PRO-3205 Electrical Shop Drawings"/>
    <d v="2025-04-11T08:00:00"/>
    <d v="2025-05-06T17:00:00"/>
    <d v="2025-04-11T08:00:00"/>
    <d v="2025-05-06T17:00:00"/>
    <s v="ENG - Electrical Engineer"/>
    <n v="1"/>
    <n v="135"/>
    <m/>
    <n v="1"/>
    <n v="25.375"/>
    <n v="25.375"/>
    <n v="27405"/>
    <n v="27405"/>
    <n v="27405"/>
    <n v="27405"/>
    <n v="1"/>
    <n v="1"/>
    <n v="0"/>
    <n v="0"/>
    <n v="27405"/>
    <x v="12"/>
  </r>
  <r>
    <s v="PRO-3210 Receive E&amp;I Bulks"/>
    <d v="2025-05-07T08:00:00"/>
    <d v="2025-06-19T17:00:00"/>
    <d v="2025-05-07T08:00:00"/>
    <d v="2025-06-19T17:00:00"/>
    <s v="PROC - Buyer/Expeditor"/>
    <n v="1"/>
    <n v="85"/>
    <m/>
    <n v="1"/>
    <n v="43.375"/>
    <n v="43.375"/>
    <n v="29495"/>
    <n v="29495"/>
    <n v="29495"/>
    <n v="29495"/>
    <n v="1"/>
    <n v="1"/>
    <n v="0"/>
    <n v="0"/>
    <n v="29495"/>
    <x v="1"/>
  </r>
  <r>
    <s v="PRO-3300 RFQ (Line Pipe)"/>
    <d v="2024-11-11T08:00:00"/>
    <d v="2024-11-27T17:00:00"/>
    <d v="2024-11-11T08:00:00"/>
    <d v="2024-11-27T17:00:00"/>
    <s v="PROC - Procurement Lead"/>
    <n v="1"/>
    <n v="120"/>
    <m/>
    <n v="1"/>
    <n v="16.375"/>
    <n v="16.375"/>
    <n v="15720"/>
    <n v="15720"/>
    <n v="15720"/>
    <n v="15720"/>
    <n v="1"/>
    <n v="1"/>
    <n v="0"/>
    <n v="0"/>
    <n v="15720"/>
    <x v="13"/>
  </r>
  <r>
    <s v="PRO-3310 Line Pipe Award"/>
    <d v="2024-11-28T08:00:00"/>
    <s v=""/>
    <d v="2024-11-28T08:00:00"/>
    <s v=""/>
    <s v=""/>
    <n v="1"/>
    <s v=""/>
    <m/>
    <n v="1"/>
    <n v="0"/>
    <n v="0"/>
    <n v="0"/>
    <n v="0"/>
    <n v="0"/>
    <n v="0"/>
    <s v=""/>
    <s v=""/>
    <n v="0"/>
    <n v="0"/>
    <n v="0"/>
    <x v="13"/>
  </r>
  <r>
    <s v="PRO-3315 Line Pipe Mill Data / Coating Submittals"/>
    <d v="2024-11-28T08:00:00"/>
    <d v="2024-12-26T17:00:00"/>
    <d v="2024-11-28T08:00:00"/>
    <d v="2024-12-26T17:00:00"/>
    <s v="ENG - Pipeline Engineer"/>
    <n v="1"/>
    <n v="135"/>
    <m/>
    <n v="1"/>
    <n v="28.375"/>
    <n v="28.375"/>
    <n v="30645"/>
    <n v="30645"/>
    <n v="30645"/>
    <n v="30645"/>
    <n v="1"/>
    <n v="1"/>
    <n v="0"/>
    <n v="0"/>
    <n v="30645"/>
    <x v="14"/>
  </r>
  <r>
    <s v="PRO-3320 Line Pipe Coating"/>
    <d v="2024-12-27T08:00:00"/>
    <d v="2025-02-17T17:00:00"/>
    <d v="2024-12-27T08:00:00"/>
    <d v="2025-02-17T17:00:00"/>
    <s v="MAT - Line Pipe Supply"/>
    <n v="1"/>
    <s v=""/>
    <n v="4500000"/>
    <n v="1"/>
    <n v="52.375"/>
    <n v="52.375"/>
    <n v="4500000"/>
    <n v="4500000"/>
    <n v="4500000"/>
    <n v="4500000"/>
    <n v="1"/>
    <n v="1"/>
    <n v="0"/>
    <n v="0"/>
    <n v="4500000"/>
    <x v="10"/>
  </r>
  <r>
    <s v="PRO-3330 Deliver Line Pipe"/>
    <d v="2025-02-18T08:00:00"/>
    <d v="2025-02-24T17:00:00"/>
    <d v="2025-02-18T08:00:00"/>
    <d v="2025-02-24T17:00:00"/>
    <s v="PROC - Buyer/Expeditor"/>
    <n v="1"/>
    <n v="85"/>
    <m/>
    <n v="1"/>
    <n v="6.375"/>
    <n v="6.375"/>
    <n v="4335"/>
    <n v="4335"/>
    <n v="4335"/>
    <n v="4335"/>
    <n v="1"/>
    <n v="1"/>
    <n v="0"/>
    <n v="0"/>
    <n v="4335"/>
    <x v="10"/>
  </r>
  <r>
    <s v="PRO-3340 Receive Pipeline Valves"/>
    <d v="2024-11-28T08:00:00"/>
    <d v="2024-12-20T17:00:00"/>
    <d v="2024-11-28T08:00:00"/>
    <d v="2024-12-20T17:00:00"/>
    <s v="PROC - Buyer/Expeditor"/>
    <n v="1"/>
    <n v="85"/>
    <m/>
    <n v="1"/>
    <n v="22.375"/>
    <n v="22.375"/>
    <n v="15215"/>
    <n v="15215"/>
    <n v="15215"/>
    <n v="15215"/>
    <n v="1"/>
    <n v="1"/>
    <n v="0"/>
    <n v="0"/>
    <n v="15215"/>
    <x v="14"/>
  </r>
  <r>
    <s v="PRO-3400 Tender Civil Contractor"/>
    <d v="2025-06-06T08:00:00"/>
    <d v="2025-06-25T17:00:00"/>
    <d v="2025-06-06T08:00:00"/>
    <d v="2025-06-25T17:00:00"/>
    <s v="PM - Contracts/Admin"/>
    <n v="1"/>
    <n v="85"/>
    <m/>
    <n v="1"/>
    <n v="19.375"/>
    <n v="19.375"/>
    <n v="13175"/>
    <n v="13175"/>
    <n v="13175"/>
    <n v="13175"/>
    <n v="1"/>
    <n v="1"/>
    <n v="0"/>
    <n v="0"/>
    <n v="13175"/>
    <x v="1"/>
  </r>
  <r>
    <s v="PRO-3410 Civil Contractor Award"/>
    <d v="2025-06-26T08:00:00"/>
    <s v=""/>
    <d v="2025-06-26T08:00:00"/>
    <s v=""/>
    <s v=""/>
    <n v="1"/>
    <s v=""/>
    <m/>
    <n v="1"/>
    <n v="0"/>
    <n v="0"/>
    <n v="0"/>
    <n v="0"/>
    <n v="0"/>
    <n v="0"/>
    <s v=""/>
    <s v=""/>
    <n v="0"/>
    <n v="0"/>
    <n v="0"/>
    <x v="1"/>
  </r>
  <r>
    <s v="PRO-3420 Tender Mechanical Contractor"/>
    <d v="2025-06-06T08:00:00"/>
    <d v="2025-07-01T17:00:00"/>
    <d v="2025-06-06T08:00:00"/>
    <d v="2025-07-01T17:00:00"/>
    <s v="PM - Contracts/Admin"/>
    <n v="1"/>
    <n v="85"/>
    <m/>
    <n v="1"/>
    <n v="25.375"/>
    <n v="25.375"/>
    <n v="17255"/>
    <n v="17255"/>
    <n v="17255"/>
    <n v="17255"/>
    <n v="1"/>
    <n v="1"/>
    <n v="0"/>
    <n v="0"/>
    <n v="17255"/>
    <x v="18"/>
  </r>
  <r>
    <s v="PRO-3430 Mechanical Contractor Award"/>
    <d v="2025-07-02T08:00:00"/>
    <s v=""/>
    <d v="2025-07-02T08:00:00"/>
    <s v=""/>
    <s v=""/>
    <n v="1"/>
    <s v=""/>
    <m/>
    <n v="1"/>
    <n v="0"/>
    <n v="0"/>
    <n v="0"/>
    <n v="0"/>
    <n v="0"/>
    <n v="0"/>
    <s v=""/>
    <s v=""/>
    <n v="0"/>
    <n v="0"/>
    <n v="0"/>
    <x v="18"/>
  </r>
  <r>
    <s v="PRO-3440 Tender E&amp;I Contractor"/>
    <d v="2025-06-06T08:00:00"/>
    <d v="2025-06-26T17:00:00"/>
    <d v="2025-06-06T08:00:00"/>
    <d v="2025-06-26T17:00:00"/>
    <s v="PM - Contracts/Admin"/>
    <n v="1"/>
    <n v="85"/>
    <m/>
    <n v="1"/>
    <n v="20.375"/>
    <n v="20.375"/>
    <n v="13855"/>
    <n v="13855"/>
    <n v="13855"/>
    <n v="13855"/>
    <n v="1"/>
    <n v="1"/>
    <n v="0"/>
    <n v="0"/>
    <n v="13855"/>
    <x v="1"/>
  </r>
  <r>
    <s v="PRO-3450 E&amp;I Contractor Award"/>
    <d v="2025-06-27T08:00:00"/>
    <d v="2025-06-27T17:00:00"/>
    <d v="2025-06-27T08:00:00"/>
    <s v=""/>
    <s v="PM - Contracts/Admin"/>
    <n v="0"/>
    <n v="85"/>
    <m/>
    <n v="1"/>
    <n v="0.375"/>
    <n v="0"/>
    <n v="255"/>
    <n v="0"/>
    <n v="255"/>
    <n v="0"/>
    <s v=""/>
    <n v="0"/>
    <n v="0"/>
    <n v="-255"/>
    <n v="255"/>
    <x v="1"/>
  </r>
  <r>
    <s v="PRO-3460 Tender Pipeline Contractor"/>
    <d v="2025-06-06T08:00:00"/>
    <d v="2025-06-24T17:00:00"/>
    <d v="2025-06-06T08:00:00"/>
    <d v="2025-06-24T17:00:00"/>
    <s v="PM - Contracts/Admin"/>
    <n v="1"/>
    <n v="85"/>
    <m/>
    <n v="1"/>
    <n v="18.375"/>
    <n v="18.375"/>
    <n v="12495"/>
    <n v="12495"/>
    <n v="12495"/>
    <n v="12495"/>
    <n v="1"/>
    <n v="1"/>
    <n v="0"/>
    <n v="0"/>
    <n v="12495"/>
    <x v="1"/>
  </r>
  <r>
    <s v="PRO-3470 Pipeline Contractor Award"/>
    <d v="2025-06-25T08:00:00"/>
    <s v=""/>
    <d v="2025-06-25T08:00:00"/>
    <s v=""/>
    <s v=""/>
    <n v="1"/>
    <s v=""/>
    <m/>
    <n v="1"/>
    <n v="0"/>
    <n v="0"/>
    <n v="0"/>
    <n v="0"/>
    <n v="0"/>
    <n v="0"/>
    <s v=""/>
    <s v=""/>
    <n v="0"/>
    <n v="0"/>
    <n v="0"/>
    <x v="1"/>
  </r>
  <r>
    <s v="CON-4000 Plant Mobilization"/>
    <d v="2025-06-26T08:00:00"/>
    <d v="2025-07-10T17:00:00"/>
    <d v="2025-06-26T08:00:00"/>
    <d v="2025-07-17T17:00:00"/>
    <s v="CIV - Site Prep Crew"/>
    <n v="1"/>
    <n v="120"/>
    <m/>
    <n v="1"/>
    <n v="14.375"/>
    <n v="21.375"/>
    <n v="13800"/>
    <n v="20520"/>
    <n v="13800"/>
    <n v="13800"/>
    <n v="0.67251461988304095"/>
    <n v="1"/>
    <n v="-6720"/>
    <n v="0"/>
    <n v="20520"/>
    <x v="18"/>
  </r>
  <r>
    <s v="CON-4010 Temp Facilities Setup"/>
    <d v="2025-07-11T08:00:00"/>
    <d v="2025-07-22T17:00:00"/>
    <d v="2025-07-11T08:00:00"/>
    <d v="2025-07-24T17:00:00"/>
    <s v="CIV - Site Prep Crew"/>
    <n v="1"/>
    <n v="120"/>
    <m/>
    <n v="1"/>
    <n v="11.375"/>
    <n v="13.375"/>
    <n v="10920"/>
    <n v="12840"/>
    <n v="10920"/>
    <n v="10920"/>
    <n v="0.85046728971962615"/>
    <n v="1"/>
    <n v="-1920"/>
    <n v="0"/>
    <n v="12840"/>
    <x v="18"/>
  </r>
  <r>
    <s v="CON-4020 Survey&amp; Layout"/>
    <d v="2025-07-11T08:00:00"/>
    <d v="2025-07-15T17:00:00"/>
    <d v="2025-07-11T08:00:00"/>
    <d v="2025-07-18T17:00:00"/>
    <s v="CIV - Site Prep Crew"/>
    <n v="1"/>
    <n v="120"/>
    <m/>
    <n v="1"/>
    <n v="4.375"/>
    <n v="7.375"/>
    <n v="4200"/>
    <n v="7080"/>
    <n v="4200"/>
    <n v="4200"/>
    <n v="0.59322033898305082"/>
    <n v="1"/>
    <n v="-2880"/>
    <n v="0"/>
    <n v="7080"/>
    <x v="18"/>
  </r>
  <r>
    <s v="CON-4030 Clearing"/>
    <d v="2025-07-16T08:00:00"/>
    <d v="2025-07-22T17:00:00"/>
    <d v="2025-07-18T08:00:00"/>
    <d v="2025-07-28T17:00:00"/>
    <s v="CIV - Site Prep Crew"/>
    <n v="1"/>
    <n v="120"/>
    <m/>
    <n v="1"/>
    <n v="6.375"/>
    <n v="10.375"/>
    <n v="6120"/>
    <n v="9960"/>
    <n v="6120"/>
    <n v="6120"/>
    <n v="0.61445783132530118"/>
    <n v="1"/>
    <n v="-3840"/>
    <n v="0"/>
    <n v="9960"/>
    <x v="18"/>
  </r>
  <r>
    <s v="CON-4100 Earthworks"/>
    <d v="2025-07-23T08:00:00"/>
    <d v="2025-08-07T17:00:00"/>
    <d v="2025-07-28T08:00:00"/>
    <d v="2025-08-21T17:00:00"/>
    <s v="CIV - Concrete Crew"/>
    <n v="1"/>
    <n v="135"/>
    <m/>
    <n v="3"/>
    <n v="15.375"/>
    <n v="24.375"/>
    <n v="49815"/>
    <n v="78975"/>
    <n v="49815"/>
    <n v="49815"/>
    <n v="0.63076923076923075"/>
    <n v="1"/>
    <n v="-29160"/>
    <n v="0"/>
    <n v="78975"/>
    <x v="19"/>
  </r>
  <r>
    <s v="CON-4110 Underground Utilities"/>
    <d v="2025-08-08T08:00:00"/>
    <d v="2025-09-08T17:00:00"/>
    <d v="2025-08-21T08:00:00"/>
    <d v="2025-09-19T17:00:00"/>
    <s v="CIV - Concrete Crew"/>
    <n v="1"/>
    <n v="135"/>
    <m/>
    <n v="3"/>
    <n v="31.375"/>
    <n v="29.375"/>
    <n v="101655"/>
    <n v="95175"/>
    <n v="101655"/>
    <n v="101655"/>
    <n v="1.0680851063829788"/>
    <n v="1"/>
    <n v="6480"/>
    <n v="0"/>
    <n v="95175"/>
    <x v="17"/>
  </r>
  <r>
    <s v="CON-4120 Form Foundations"/>
    <d v="2025-08-08T08:00:00"/>
    <d v="2025-08-26T17:00:00"/>
    <d v="2025-09-19T08:00:00"/>
    <d v="2025-10-07T17:00:00"/>
    <s v="CIV - Concrete Crew"/>
    <n v="1"/>
    <n v="135"/>
    <m/>
    <n v="3"/>
    <n v="18.375"/>
    <n v="18.375"/>
    <n v="59535"/>
    <n v="59535"/>
    <n v="59535"/>
    <n v="59535"/>
    <n v="1"/>
    <n v="1"/>
    <n v="0"/>
    <n v="0"/>
    <n v="59535"/>
    <x v="19"/>
  </r>
  <r>
    <s v="CON-4130 Rebar Install"/>
    <d v="2025-08-27T08:00:00"/>
    <d v="2025-09-01T17:00:00"/>
    <d v="2025-10-07T08:00:00"/>
    <d v="2025-10-17T08:00:00"/>
    <s v="CIV - Concrete Crew"/>
    <n v="1"/>
    <n v="135"/>
    <m/>
    <n v="4"/>
    <n v="5.375"/>
    <n v="10"/>
    <n v="23220"/>
    <n v="43200"/>
    <n v="23220"/>
    <n v="23220"/>
    <n v="0.53749999999999998"/>
    <n v="1"/>
    <n v="-19980"/>
    <n v="0"/>
    <n v="43200"/>
    <x v="17"/>
  </r>
  <r>
    <s v="CON-4140 Pour Foundations"/>
    <d v="2025-10-16T08:00:00"/>
    <d v="2025-10-30T17:00:00"/>
    <d v="2025-10-16T08:00:00"/>
    <d v="2025-10-31T08:00:00"/>
    <s v="CIV - Concrete Crew"/>
    <n v="1"/>
    <n v="135"/>
    <m/>
    <n v="3"/>
    <n v="14.375"/>
    <n v="15"/>
    <n v="46575"/>
    <n v="48600"/>
    <n v="46575"/>
    <n v="46575"/>
    <n v="0.95833333333333337"/>
    <n v="1"/>
    <n v="-2025"/>
    <n v="0"/>
    <n v="48600"/>
    <x v="2"/>
  </r>
  <r>
    <s v="CON-4150 Cure&amp; Backfill"/>
    <d v="2025-10-31T08:00:00"/>
    <d v="2025-11-12T17:00:00"/>
    <d v="2025-10-31T08:00:00"/>
    <d v="2025-11-12T17:00:00"/>
    <s v="CIV - Concrete Crew"/>
    <n v="1"/>
    <n v="135"/>
    <m/>
    <n v="3"/>
    <n v="12.375"/>
    <n v="12.375"/>
    <n v="40095"/>
    <n v="40095"/>
    <n v="40095"/>
    <n v="40095"/>
    <n v="1"/>
    <n v="1"/>
    <n v="0"/>
    <n v="0"/>
    <n v="40095"/>
    <x v="20"/>
  </r>
  <r>
    <s v="CON-4200 Erect Columns"/>
    <d v="2025-09-30T08:00:00"/>
    <d v="2025-10-09T17:00:00"/>
    <d v="2025-10-27T08:00:00"/>
    <d v="2025-11-05T17:00:00"/>
    <s v="STR - Steel Erection Crew"/>
    <n v="1"/>
    <n v="140"/>
    <m/>
    <n v="3"/>
    <n v="9.375"/>
    <n v="9.375"/>
    <n v="31500"/>
    <n v="31500"/>
    <n v="31500"/>
    <n v="31500"/>
    <n v="1"/>
    <n v="1"/>
    <n v="0"/>
    <n v="0"/>
    <n v="31500"/>
    <x v="2"/>
  </r>
  <r>
    <s v="CON-4210 Erect Beams"/>
    <d v="2025-10-10T08:00:00"/>
    <d v="2025-11-07T17:00:00"/>
    <d v="2025-11-05T08:00:00"/>
    <d v="2025-12-03T17:00:00"/>
    <s v="STR - Steel Erection Crew"/>
    <n v="1"/>
    <n v="140"/>
    <m/>
    <n v="4"/>
    <n v="28.375"/>
    <n v="28.375"/>
    <n v="127120"/>
    <n v="127120"/>
    <n v="127120"/>
    <n v="127120"/>
    <n v="1"/>
    <n v="1"/>
    <n v="0"/>
    <n v="0"/>
    <n v="127120"/>
    <x v="20"/>
  </r>
  <r>
    <s v="CON-4220 Install Grating"/>
    <d v="2025-12-03T08:00:00"/>
    <d v="2025-12-22T17:00:00"/>
    <d v="2025-12-03T08:00:00"/>
    <d v="2025-12-22T17:00:00"/>
    <s v="STR - Steel Erection Crew"/>
    <n v="1"/>
    <n v="140"/>
    <m/>
    <n v="4"/>
    <n v="19.375"/>
    <n v="19.375"/>
    <n v="86800"/>
    <n v="86800"/>
    <n v="86800"/>
    <n v="86800"/>
    <n v="1"/>
    <n v="1"/>
    <n v="0"/>
    <n v="0"/>
    <n v="86800"/>
    <x v="21"/>
  </r>
  <r>
    <s v="CON-4230 Install Pipe Rack Steel"/>
    <d v="2025-11-10T08:00:00"/>
    <d v="2025-11-27T17:00:00"/>
    <d v="2025-12-22T08:00:00"/>
    <d v="2026-01-02T08:00:00"/>
    <s v="STR - Steel Erection Crew"/>
    <n v="1"/>
    <n v="140"/>
    <m/>
    <n v="3"/>
    <n v="17.375"/>
    <n v="11"/>
    <n v="58380"/>
    <n v="36960"/>
    <n v="58380"/>
    <n v="58380"/>
    <n v="1.5795454545454546"/>
    <n v="1"/>
    <n v="21420"/>
    <n v="0"/>
    <n v="36960"/>
    <x v="20"/>
  </r>
  <r>
    <s v="CON-4300 Receive Equipment"/>
    <d v="2025-10-02T08:00:00"/>
    <d v="2025-10-06T17:00:00"/>
    <d v="2025-10-02T08:00:00"/>
    <d v="2025-10-06T17:00:00"/>
    <s v="MECH - Rigging Crew"/>
    <n v="1"/>
    <n v="135"/>
    <m/>
    <n v="3"/>
    <n v="4.375"/>
    <n v="4.375"/>
    <n v="14175"/>
    <n v="14175"/>
    <n v="14175"/>
    <n v="14175"/>
    <n v="1"/>
    <n v="1"/>
    <n v="0"/>
    <n v="0"/>
    <n v="14175"/>
    <x v="2"/>
  </r>
  <r>
    <s v="CON-4310 Set Vessels"/>
    <d v="2025-11-28T08:00:00"/>
    <d v="2025-12-10T17:00:00"/>
    <d v="2026-01-02T08:00:00"/>
    <d v="2026-01-14T17:00:00"/>
    <s v="MECH - Equipment Setting Crew"/>
    <n v="1"/>
    <n v="140"/>
    <m/>
    <n v="1"/>
    <n v="12.375"/>
    <n v="12.375"/>
    <n v="13860"/>
    <n v="13860"/>
    <n v="13860"/>
    <n v="13860"/>
    <n v="1"/>
    <n v="1"/>
    <n v="0"/>
    <n v="0"/>
    <n v="13860"/>
    <x v="21"/>
  </r>
  <r>
    <s v="CON-4320 Set Exchangers"/>
    <d v="2026-01-02T08:00:00"/>
    <d v="2026-01-16T17:00:00"/>
    <d v="2026-01-02T08:00:00"/>
    <d v="2026-01-16T17:00:00"/>
    <s v="MECH - Equipment Setting Crew"/>
    <n v="1"/>
    <n v="140"/>
    <m/>
    <n v="1"/>
    <n v="14.375"/>
    <n v="14.375"/>
    <n v="16100"/>
    <n v="16100"/>
    <n v="16100"/>
    <n v="16100"/>
    <n v="1"/>
    <n v="1"/>
    <n v="0"/>
    <n v="0"/>
    <n v="16100"/>
    <x v="22"/>
  </r>
  <r>
    <s v="CON-4330 Set Compressor"/>
    <d v="2025-11-28T08:00:00"/>
    <d v="2025-12-12T17:00:00"/>
    <d v="2026-01-02T08:00:00"/>
    <d v="2026-01-16T17:00:00"/>
    <s v="MECH - Equipment Setting Crew"/>
    <n v="1"/>
    <n v="140"/>
    <m/>
    <n v="1"/>
    <n v="14.375"/>
    <n v="14.375"/>
    <n v="16100"/>
    <n v="16100"/>
    <n v="16100"/>
    <n v="16100"/>
    <n v="1"/>
    <n v="1"/>
    <n v="0"/>
    <n v="0"/>
    <n v="16100"/>
    <x v="21"/>
  </r>
  <r>
    <s v="CON-4340 Install Skid Piping"/>
    <d v="2025-12-15T08:00:00"/>
    <d v="2026-01-01T17:00:00"/>
    <d v="2026-01-16T08:00:00"/>
    <d v="2026-02-04T17:00:00"/>
    <s v="MECH - Pipefitters Crew"/>
    <n v="1"/>
    <n v="140"/>
    <m/>
    <n v="3"/>
    <n v="17.375"/>
    <n v="19.375"/>
    <n v="58380"/>
    <n v="65100"/>
    <n v="58380"/>
    <n v="58380"/>
    <n v="0.89677419354838706"/>
    <n v="1"/>
    <n v="-6720"/>
    <n v="0"/>
    <n v="65100"/>
    <x v="22"/>
  </r>
  <r>
    <s v="CON-4350 Install Spools (Area A)"/>
    <d v="2025-11-28T08:00:00"/>
    <d v="2025-12-18T17:00:00"/>
    <d v="2026-01-02T08:00:00"/>
    <d v="2026-01-22T17:00:00"/>
    <s v="MECH - Pipefitters Crew"/>
    <n v="1"/>
    <n v="140"/>
    <m/>
    <n v="4"/>
    <n v="20.375"/>
    <n v="20.375"/>
    <n v="91280"/>
    <n v="91280"/>
    <n v="91280"/>
    <n v="91280"/>
    <n v="1"/>
    <n v="1"/>
    <n v="0"/>
    <n v="0"/>
    <n v="91280"/>
    <x v="21"/>
  </r>
  <r>
    <s v="CON-4360 Install Spools (Area B)"/>
    <d v="2025-11-28T08:00:00"/>
    <d v="2025-12-24T17:00:00"/>
    <d v="2026-01-02T08:00:00"/>
    <d v="2026-01-28T17:00:00"/>
    <s v="MECH - Pipefitters Crew"/>
    <n v="1"/>
    <n v="140"/>
    <m/>
    <n v="4"/>
    <n v="26.375"/>
    <n v="26.375"/>
    <n v="118160"/>
    <n v="118160"/>
    <n v="118160"/>
    <n v="118160"/>
    <n v="1"/>
    <n v="1"/>
    <n v="0"/>
    <n v="0"/>
    <n v="118160"/>
    <x v="21"/>
  </r>
  <r>
    <s v="CON-4370 Install Valves"/>
    <d v="2025-12-25T08:00:00"/>
    <d v="2026-01-12T17:00:00"/>
    <d v="2026-01-28T08:00:00"/>
    <d v="2026-02-13T17:00:00"/>
    <s v="MECH - Pipefitters Crew"/>
    <n v="1"/>
    <n v="140"/>
    <m/>
    <n v="4"/>
    <n v="18.375"/>
    <n v="16.375"/>
    <n v="82320"/>
    <n v="73360"/>
    <n v="82320"/>
    <n v="82320"/>
    <n v="1.1221374045801527"/>
    <n v="1"/>
    <n v="8960"/>
    <n v="0"/>
    <n v="73360"/>
    <x v="22"/>
  </r>
  <r>
    <s v="CON-4380 NDE / PWHT"/>
    <d v="2026-01-13T08:00:00"/>
    <d v="2026-02-02T17:00:00"/>
    <d v="2026-02-13T08:00:00"/>
    <d v="2026-02-27T17:00:00"/>
    <s v="MECH - NDE/NDT Technician"/>
    <n v="1"/>
    <n v="150"/>
    <m/>
    <n v="1"/>
    <n v="20.375"/>
    <n v="14.375"/>
    <n v="24450"/>
    <n v="17250"/>
    <n v="24450"/>
    <n v="24450"/>
    <n v="1.4173913043478261"/>
    <n v="1"/>
    <n v="7200"/>
    <n v="0"/>
    <n v="17250"/>
    <x v="23"/>
  </r>
  <r>
    <s v="CON-4390 Piping Hydrotest"/>
    <d v="2026-02-03T08:00:00"/>
    <d v="2026-02-23T17:00:00"/>
    <d v="2026-02-27T08:00:00"/>
    <d v="2026-03-09T17:00:00"/>
    <s v="PIPE - Hydrotest Crew"/>
    <n v="1"/>
    <n v="135"/>
    <m/>
    <n v="1"/>
    <n v="20.375"/>
    <n v="10.375"/>
    <n v="22005"/>
    <n v="11205"/>
    <n v="22005"/>
    <n v="22005"/>
    <n v="1.963855421686747"/>
    <n v="1"/>
    <n v="10800"/>
    <n v="0"/>
    <n v="11205"/>
    <x v="23"/>
  </r>
  <r>
    <s v="CON-4400 Drying&amp; Reinstatement"/>
    <d v="2026-03-09T08:00:00"/>
    <d v="2026-03-20T17:00:00"/>
    <d v="2026-03-09T08:00:00"/>
    <d v="2026-03-20T17:00:00"/>
    <s v="MECH - Hydrotest Crew"/>
    <n v="1"/>
    <n v="135"/>
    <m/>
    <n v="1"/>
    <n v="11.375"/>
    <n v="11.375"/>
    <n v="12285"/>
    <n v="12285"/>
    <n v="0"/>
    <n v="12285"/>
    <n v="1"/>
    <s v=""/>
    <n v="0"/>
    <n v="12285"/>
    <n v="12285"/>
    <x v="4"/>
  </r>
  <r>
    <s v="CON-4500 Install Ground Grid"/>
    <d v="2025-08-08T08:00:00"/>
    <d v="2025-08-18T17:00:00"/>
    <d v="2025-08-21T08:00:00"/>
    <d v="2025-08-29T17:00:00"/>
    <s v="E&amp;I - Electrical Crew"/>
    <n v="1"/>
    <n v="145"/>
    <m/>
    <n v="1"/>
    <n v="10.375"/>
    <n v="8.375"/>
    <n v="12035"/>
    <n v="9715"/>
    <n v="12035"/>
    <n v="12035"/>
    <n v="1.2388059701492538"/>
    <n v="1"/>
    <n v="2320"/>
    <n v="0"/>
    <n v="9715"/>
    <x v="19"/>
  </r>
  <r>
    <s v="CON-4510 Install Cable Tray"/>
    <d v="2025-11-28T08:00:00"/>
    <d v="2025-12-23T17:00:00"/>
    <d v="2026-01-02T08:00:00"/>
    <d v="2026-01-27T17:00:00"/>
    <s v="E&amp;I - Cable Tray Crew"/>
    <n v="1"/>
    <n v="135"/>
    <m/>
    <n v="3"/>
    <n v="25.375"/>
    <n v="25.375"/>
    <n v="82215"/>
    <n v="82215"/>
    <n v="82215"/>
    <n v="82215"/>
    <n v="1"/>
    <n v="1"/>
    <n v="0"/>
    <n v="0"/>
    <n v="82215"/>
    <x v="21"/>
  </r>
  <r>
    <s v="CON-4520 Pull Power Cables"/>
    <d v="2025-12-24T08:00:00"/>
    <d v="2026-01-22T17:00:00"/>
    <d v="2026-01-27T08:00:00"/>
    <d v="2026-02-25T17:00:00"/>
    <s v="E&amp;I - Cable Pull Crew"/>
    <n v="1"/>
    <n v="135"/>
    <m/>
    <n v="3"/>
    <n v="29.375"/>
    <n v="29.375"/>
    <n v="95175"/>
    <n v="95175"/>
    <n v="95175"/>
    <n v="95175"/>
    <n v="1"/>
    <n v="1"/>
    <n v="0"/>
    <n v="0"/>
    <n v="95175"/>
    <x v="22"/>
  </r>
  <r>
    <s v="CON-4530 Pull Control Cables"/>
    <d v="2025-12-24T08:00:00"/>
    <d v="2026-01-15T17:00:00"/>
    <d v="2026-01-27T08:00:00"/>
    <d v="2026-02-18T17:00:00"/>
    <s v="E&amp;I - Cable Pull Crew"/>
    <n v="1"/>
    <n v="135"/>
    <m/>
    <n v="3"/>
    <n v="22.375"/>
    <n v="22.375"/>
    <n v="72495"/>
    <n v="72495"/>
    <n v="72495"/>
    <n v="72495"/>
    <n v="1"/>
    <n v="1"/>
    <n v="0"/>
    <n v="0"/>
    <n v="72495"/>
    <x v="22"/>
  </r>
  <r>
    <s v="CON-4540 MCC Terminations"/>
    <d v="2026-01-23T08:00:00"/>
    <d v="2026-02-17T17:00:00"/>
    <d v="2026-02-25T08:00:00"/>
    <d v="2026-03-20T17:00:00"/>
    <s v="E&amp;I - Electrical Crew"/>
    <n v="1"/>
    <n v="145"/>
    <m/>
    <n v="3"/>
    <n v="25.375"/>
    <n v="23.375"/>
    <n v="88305"/>
    <n v="81345"/>
    <n v="88305"/>
    <n v="88305"/>
    <n v="1.0855614973262031"/>
    <n v="1"/>
    <n v="6960"/>
    <n v="0"/>
    <n v="81345"/>
    <x v="23"/>
  </r>
  <r>
    <s v="CON-4550 Field Terminations"/>
    <d v="2026-01-16T08:00:00"/>
    <d v="2026-02-05T17:00:00"/>
    <d v="2026-02-18T08:00:00"/>
    <s v=""/>
    <s v="E&amp;I - Termination Crew"/>
    <n v="0.3"/>
    <n v="145"/>
    <m/>
    <n v="3"/>
    <n v="20.375"/>
    <n v="0"/>
    <n v="70905"/>
    <n v="0"/>
    <n v="70905"/>
    <n v="21271.5"/>
    <s v=""/>
    <n v="0.3"/>
    <n v="21271.5"/>
    <n v="-49633.5"/>
    <n v="49633.5"/>
    <x v="23"/>
  </r>
  <r>
    <s v="CON-4560 Lighting&amp; Heat Trace"/>
    <d v="2026-01-23T08:00:00"/>
    <d v="2026-02-12T17:00:00"/>
    <d v="2026-02-25T08:00:00"/>
    <s v=""/>
    <s v="E&amp;I - Electrical Crew"/>
    <n v="0.4"/>
    <n v="145"/>
    <m/>
    <n v="1"/>
    <n v="20.375"/>
    <n v="0"/>
    <n v="23635"/>
    <n v="0"/>
    <n v="23635"/>
    <n v="9454"/>
    <s v=""/>
    <n v="0.4"/>
    <n v="9454"/>
    <n v="-14181"/>
    <n v="14181"/>
    <x v="23"/>
  </r>
  <r>
    <s v="CON-4570 Energize Substation"/>
    <d v="2026-02-18T08:00:00"/>
    <d v="2026-03-10T17:00:00"/>
    <s v=""/>
    <s v=""/>
    <s v="E&amp;I - Electrical Crew"/>
    <n v="0"/>
    <n v="145"/>
    <m/>
    <n v="1"/>
    <n v="20.375"/>
    <n v="0"/>
    <n v="23635"/>
    <n v="0"/>
    <n v="23635"/>
    <n v="0"/>
    <s v=""/>
    <n v="0"/>
    <n v="0"/>
    <n v="-23635"/>
    <n v="23635"/>
    <x v="4"/>
  </r>
  <r>
    <s v="CON-4600 Install Instruments"/>
    <d v="2025-12-25T08:00:00"/>
    <d v="2026-01-21T17:00:00"/>
    <d v="2026-01-28T00:00:00"/>
    <d v="2026-02-25T08:00:00"/>
    <s v="E&amp;I - Instrument Crew"/>
    <n v="1"/>
    <n v="145"/>
    <m/>
    <n v="3"/>
    <n v="27.375"/>
    <n v="28.333333333299379"/>
    <n v="95265"/>
    <n v="98599.999999881838"/>
    <n v="95265"/>
    <n v="95265"/>
    <n v="0.96617647058939315"/>
    <n v="1"/>
    <n v="-3334.9999998818384"/>
    <n v="0"/>
    <n v="98599.999999881838"/>
    <x v="22"/>
  </r>
  <r>
    <s v="CON-4610 Install Control Valves"/>
    <d v="2026-01-13T08:00:00"/>
    <d v="2026-02-09T17:00:00"/>
    <d v="2026-02-13T00:00:00"/>
    <d v="2026-03-26T17:00:00"/>
    <s v="E&amp;I - Instrument Crew"/>
    <n v="1"/>
    <n v="145"/>
    <m/>
    <n v="1"/>
    <n v="27.375"/>
    <n v="41.708333333299379"/>
    <n v="31755"/>
    <n v="48381.666666627279"/>
    <n v="31755"/>
    <n v="31755"/>
    <n v="0.65634365634419067"/>
    <n v="1"/>
    <n v="-16626.666666627279"/>
    <n v="0"/>
    <n v="48381.666666627279"/>
    <x v="23"/>
  </r>
  <r>
    <s v="CON-4620 Install Analyzers"/>
    <d v="2026-01-02T08:00:00"/>
    <d v="2026-01-15T17:00:00"/>
    <d v="2026-01-02T08:00:00"/>
    <d v="2026-01-16T17:00:00"/>
    <s v="E&amp;I - Instrument Crew"/>
    <n v="1"/>
    <n v="145"/>
    <m/>
    <n v="1"/>
    <n v="13.375"/>
    <n v="14.375"/>
    <n v="15515"/>
    <n v="16675"/>
    <n v="15515"/>
    <n v="15515"/>
    <n v="0.93043478260869561"/>
    <n v="1"/>
    <n v="-1160"/>
    <n v="0"/>
    <n v="16675"/>
    <x v="22"/>
  </r>
  <r>
    <s v="CON-4630 Install Junction Boxes"/>
    <d v="2026-01-27T08:00:00"/>
    <d v="2026-02-06T17:00:00"/>
    <d v="2026-01-27T08:00:00"/>
    <d v="2026-02-06T17:00:00"/>
    <s v="E&amp;I - Instrument Crew"/>
    <n v="1"/>
    <n v="145"/>
    <m/>
    <n v="3"/>
    <n v="10.375"/>
    <n v="10.375"/>
    <n v="36105"/>
    <n v="36105"/>
    <n v="36105"/>
    <n v="36105"/>
    <n v="1"/>
    <n v="1"/>
    <n v="0"/>
    <n v="0"/>
    <n v="36105"/>
    <x v="23"/>
  </r>
  <r>
    <s v="CON-4640 Loop Checks"/>
    <d v="2026-03-11T08:00:00"/>
    <d v="2026-03-24T17:00:00"/>
    <s v=""/>
    <s v=""/>
    <s v="COM - Controls/Loop Check Team"/>
    <n v="0"/>
    <n v="145"/>
    <m/>
    <n v="1"/>
    <n v="13.375"/>
    <n v="0"/>
    <n v="15515"/>
    <n v="0"/>
    <n v="0"/>
    <n v="0"/>
    <s v=""/>
    <s v=""/>
    <n v="0"/>
    <n v="0"/>
    <n v="15515"/>
    <x v="4"/>
  </r>
  <r>
    <s v="CON-4650 Controls Testing"/>
    <d v="2026-03-25T08:00:00"/>
    <d v="2026-04-14T17:00:00"/>
    <s v=""/>
    <s v=""/>
    <s v="COM - Controls/Loop Check Team"/>
    <n v="0"/>
    <n v="145"/>
    <m/>
    <n v="1"/>
    <n v="20.375"/>
    <n v="0"/>
    <n v="23635"/>
    <n v="0"/>
    <n v="0"/>
    <n v="0"/>
    <s v=""/>
    <s v=""/>
    <n v="0"/>
    <n v="0"/>
    <n v="23635"/>
    <x v="24"/>
  </r>
  <r>
    <s v="CON-4700 Paint Touch-Up"/>
    <d v="2025-12-25T08:00:00"/>
    <d v="2026-01-19T17:00:00"/>
    <d v="2026-02-13T08:00:00"/>
    <s v=""/>
    <s v="MECH - Pipefitters Crew"/>
    <n v="0"/>
    <n v="140"/>
    <m/>
    <n v="1"/>
    <n v="25.375"/>
    <n v="0"/>
    <n v="28420"/>
    <n v="0"/>
    <n v="28420"/>
    <n v="0"/>
    <s v=""/>
    <n v="0"/>
    <n v="0"/>
    <n v="-28420"/>
    <n v="28420"/>
    <x v="22"/>
  </r>
  <r>
    <s v="CON-4710 Insulation Install"/>
    <d v="2026-02-24T08:00:00"/>
    <d v="2026-03-09T17:00:00"/>
    <s v=""/>
    <s v=""/>
    <s v="MECH - Pipefitters Crew"/>
    <n v="0"/>
    <n v="140"/>
    <m/>
    <n v="1"/>
    <n v="13.375"/>
    <n v="0"/>
    <n v="14980"/>
    <n v="0"/>
    <n v="14980"/>
    <n v="0"/>
    <s v=""/>
    <n v="0"/>
    <n v="0"/>
    <n v="-14980"/>
    <n v="14980"/>
    <x v="4"/>
  </r>
  <r>
    <s v="CON-4720 Tagging&amp; Labels"/>
    <d v="2026-03-10T08:00:00"/>
    <d v="2026-03-30T17:00:00"/>
    <s v=""/>
    <s v=""/>
    <s v="MECH - Pipefitters Crew"/>
    <n v="0"/>
    <n v="140"/>
    <m/>
    <n v="1"/>
    <n v="20.375"/>
    <n v="0"/>
    <n v="22820"/>
    <n v="0"/>
    <n v="0"/>
    <n v="0"/>
    <s v=""/>
    <s v=""/>
    <n v="0"/>
    <n v="0"/>
    <n v="22820"/>
    <x v="4"/>
  </r>
  <r>
    <s v="CON-4800 Shutdown Planning"/>
    <d v="2026-03-10T08:00:00"/>
    <d v="2026-04-20T17:00:00"/>
    <s v=""/>
    <s v=""/>
    <s v="CON - Construction Manager"/>
    <n v="0"/>
    <n v="145"/>
    <m/>
    <n v="1"/>
    <n v="41.375"/>
    <n v="0"/>
    <n v="47995"/>
    <n v="0"/>
    <n v="0"/>
    <n v="0"/>
    <s v=""/>
    <s v=""/>
    <n v="0"/>
    <n v="0"/>
    <n v="47995"/>
    <x v="24"/>
  </r>
  <r>
    <s v="CON-4810 Prefab Complete"/>
    <d v="2026-01-02T08:00:00"/>
    <s v=""/>
    <d v="2026-02-05T08:00:00"/>
    <s v=""/>
    <s v=""/>
    <n v="1"/>
    <s v=""/>
    <m/>
    <n v="1"/>
    <n v="0"/>
    <n v="0"/>
    <n v="0"/>
    <n v="0"/>
    <n v="0"/>
    <n v="0"/>
    <s v=""/>
    <s v=""/>
    <n v="0"/>
    <n v="0"/>
    <n v="0"/>
    <x v="22"/>
  </r>
  <r>
    <s v="CON-4820 Execute Tie-Ins"/>
    <d v="2026-04-21T08:00:00"/>
    <d v="2026-05-04T17:00:00"/>
    <s v=""/>
    <s v=""/>
    <s v="MECH - Welders Crew"/>
    <n v="0"/>
    <n v="150"/>
    <m/>
    <n v="1"/>
    <n v="13.375"/>
    <n v="0"/>
    <n v="16050"/>
    <n v="0"/>
    <n v="0"/>
    <n v="0"/>
    <s v=""/>
    <s v=""/>
    <n v="0"/>
    <n v="0"/>
    <n v="16050"/>
    <x v="3"/>
  </r>
  <r>
    <s v="CON-4830 Tie-Ins Complete"/>
    <d v="2026-05-05T08:00:00"/>
    <d v="2026-05-11T17:00:00"/>
    <s v=""/>
    <s v=""/>
    <s v="CON - QA/QC Inspector"/>
    <n v="0"/>
    <n v="90"/>
    <m/>
    <n v="1"/>
    <n v="6.375"/>
    <n v="0"/>
    <n v="4590"/>
    <n v="0"/>
    <n v="0"/>
    <n v="0"/>
    <s v=""/>
    <s v=""/>
    <n v="0"/>
    <n v="0"/>
    <n v="4590"/>
    <x v="3"/>
  </r>
  <r>
    <s v="CON-4840 Plant Mech Completion"/>
    <d v="2026-05-12T08:00:00"/>
    <s v=""/>
    <s v=""/>
    <s v=""/>
    <s v=""/>
    <n v="0"/>
    <s v=""/>
    <m/>
    <n v="1"/>
    <n v="0"/>
    <n v="0"/>
    <n v="0"/>
    <n v="0"/>
    <n v="0"/>
    <n v="0"/>
    <s v=""/>
    <s v=""/>
    <n v="0"/>
    <n v="0"/>
    <n v="0"/>
    <x v="3"/>
  </r>
  <r>
    <s v="PL-5000 Pipeline Mobilization"/>
    <d v="2025-06-25T08:00:00"/>
    <d v="2025-07-04T17:00:00"/>
    <d v="2025-06-25T08:00:00"/>
    <d v="2025-07-04T00:00:00"/>
    <s v="PIPE - Pipeline Superintendent"/>
    <n v="1"/>
    <n v="140"/>
    <m/>
    <n v="1"/>
    <n v="9.375"/>
    <n v="8.6666666667006211"/>
    <n v="10500"/>
    <n v="9706.6666667046957"/>
    <n v="10500"/>
    <n v="10500"/>
    <n v="1.0817307692265312"/>
    <n v="1"/>
    <n v="793.33333329530433"/>
    <n v="0"/>
    <n v="9706.6666667046957"/>
    <x v="18"/>
  </r>
  <r>
    <s v="PL-5010 Survey&amp; Staking"/>
    <d v="2025-07-07T08:00:00"/>
    <d v="2025-07-15T17:00:00"/>
    <d v="2025-07-07T08:00:00"/>
    <d v="2025-07-15T17:00:00"/>
    <s v="PIPE - ROW Clearing Crew"/>
    <n v="1"/>
    <n v="125"/>
    <m/>
    <n v="1"/>
    <n v="8.375"/>
    <n v="8.375"/>
    <n v="8375"/>
    <n v="8375"/>
    <n v="8375"/>
    <n v="8375"/>
    <n v="1"/>
    <n v="1"/>
    <n v="0"/>
    <n v="0"/>
    <n v="8375"/>
    <x v="18"/>
  </r>
  <r>
    <s v="PL-5020 ROW Clearing"/>
    <d v="2025-07-16T08:00:00"/>
    <d v="2025-08-04T17:00:00"/>
    <d v="2025-07-16T08:00:00"/>
    <d v="2025-08-04T17:00:00"/>
    <s v="PIPE - ROW Clearing Crew"/>
    <n v="1"/>
    <n v="125"/>
    <m/>
    <n v="4"/>
    <n v="19.375"/>
    <n v="19.375"/>
    <n v="77500"/>
    <n v="77500"/>
    <n v="77500"/>
    <n v="77500"/>
    <n v="1"/>
    <n v="1"/>
    <n v="0"/>
    <n v="0"/>
    <n v="77500"/>
    <x v="19"/>
  </r>
  <r>
    <s v="PL-5030 Access Improvements"/>
    <d v="2025-08-05T08:00:00"/>
    <d v="2025-08-19T17:00:00"/>
    <d v="2025-08-05T08:00:00"/>
    <d v="2025-08-19T17:00:00"/>
    <s v="PIPE - ROW Clearing Crew"/>
    <n v="1"/>
    <n v="125"/>
    <m/>
    <n v="1"/>
    <n v="14.375"/>
    <n v="14.375"/>
    <n v="14375"/>
    <n v="14375"/>
    <n v="14375"/>
    <n v="14375"/>
    <n v="1"/>
    <n v="1"/>
    <n v="0"/>
    <n v="0"/>
    <n v="14375"/>
    <x v="19"/>
  </r>
  <r>
    <s v="PL-5100 Pipe Stringing"/>
    <d v="2025-08-20T08:00:00"/>
    <d v="2025-09-05T17:00:00"/>
    <d v="2025-08-20T08:00:00"/>
    <d v="2025-09-05T17:00:00"/>
    <s v="PIPE - Stringing Crew"/>
    <n v="1"/>
    <n v="130"/>
    <m/>
    <n v="3"/>
    <n v="16.375"/>
    <n v="16.375"/>
    <n v="51090"/>
    <n v="51090"/>
    <n v="51090"/>
    <n v="51090"/>
    <n v="1"/>
    <n v="1"/>
    <n v="0"/>
    <n v="0"/>
    <n v="51090"/>
    <x v="17"/>
  </r>
  <r>
    <s v="PL-5110 Pipe Bending"/>
    <d v="2025-09-08T08:00:00"/>
    <d v="2025-09-17T17:00:00"/>
    <d v="2025-09-08T08:00:00"/>
    <d v="2025-09-17T17:00:00"/>
    <s v="PIPE - Bending Crew"/>
    <n v="1"/>
    <n v="140"/>
    <m/>
    <n v="1"/>
    <n v="9.375"/>
    <n v="9.375"/>
    <n v="10500"/>
    <n v="10500"/>
    <n v="10500"/>
    <n v="10500"/>
    <n v="1"/>
    <n v="1"/>
    <n v="0"/>
    <n v="0"/>
    <n v="10500"/>
    <x v="17"/>
  </r>
  <r>
    <s v="PL-5120 Mainline Welding"/>
    <d v="2025-09-18T08:00:00"/>
    <d v="2025-10-21T17:00:00"/>
    <d v="2025-09-18T08:00:00"/>
    <d v="2025-10-21T17:00:00"/>
    <s v="PIPE - Welding Crew"/>
    <n v="1"/>
    <n v="155"/>
    <m/>
    <n v="6"/>
    <n v="33.375"/>
    <n v="33.375"/>
    <n v="248310"/>
    <n v="248310"/>
    <n v="248310"/>
    <n v="248310"/>
    <n v="1"/>
    <n v="1"/>
    <n v="0"/>
    <n v="0"/>
    <n v="248310"/>
    <x v="2"/>
  </r>
  <r>
    <s v="PL-5130 Mainline NDT"/>
    <d v="2025-10-22T08:00:00"/>
    <d v="2025-11-12T17:00:00"/>
    <d v="2025-10-22T08:00:00"/>
    <d v="2025-11-12T17:00:00"/>
    <s v="PIPE - NDT Crew"/>
    <n v="1"/>
    <n v="155"/>
    <m/>
    <n v="3"/>
    <n v="21.375"/>
    <n v="21.375"/>
    <n v="79515"/>
    <n v="79515"/>
    <n v="79515"/>
    <n v="79515"/>
    <n v="1"/>
    <n v="1"/>
    <n v="0"/>
    <n v="0"/>
    <n v="79515"/>
    <x v="20"/>
  </r>
  <r>
    <s v="PL-5140 Field Joint Coating"/>
    <d v="2025-11-13T08:00:00"/>
    <d v="2025-12-01T17:00:00"/>
    <d v="2025-11-13T08:00:00"/>
    <d v="2025-12-01T17:00:00"/>
    <s v="PIPE - Coating Crew"/>
    <n v="1"/>
    <n v="135"/>
    <m/>
    <n v="3"/>
    <n v="18.375"/>
    <n v="18.375"/>
    <n v="59535"/>
    <n v="59535"/>
    <n v="59535"/>
    <n v="59535"/>
    <n v="1"/>
    <n v="1"/>
    <n v="0"/>
    <n v="0"/>
    <n v="59535"/>
    <x v="21"/>
  </r>
  <r>
    <s v="PL-5150 Lower-In"/>
    <d v="2025-12-02T08:00:00"/>
    <d v="2025-12-22T17:00:00"/>
    <d v="2025-12-02T08:00:00"/>
    <d v="2025-12-22T17:00:00"/>
    <s v="PIPE - Lower-In Crew"/>
    <n v="1"/>
    <n v="135"/>
    <m/>
    <n v="3"/>
    <n v="20.375"/>
    <n v="20.375"/>
    <n v="66015"/>
    <n v="66015"/>
    <n v="66015"/>
    <n v="66015"/>
    <n v="1"/>
    <n v="1"/>
    <n v="0"/>
    <n v="0"/>
    <n v="66015"/>
    <x v="21"/>
  </r>
  <r>
    <s v="PL-5160 Backfill"/>
    <d v="2025-12-23T08:00:00"/>
    <d v="2026-01-12T17:00:00"/>
    <d v="2025-12-23T08:00:00"/>
    <d v="2026-01-12T17:00:00"/>
    <s v="PIPE - ROW Clearing Crew"/>
    <n v="1"/>
    <n v="125"/>
    <m/>
    <n v="4"/>
    <n v="20.375"/>
    <n v="20.375"/>
    <n v="81500"/>
    <n v="81500"/>
    <n v="81500"/>
    <n v="81500"/>
    <n v="1"/>
    <n v="1"/>
    <n v="0"/>
    <n v="0"/>
    <n v="81500"/>
    <x v="22"/>
  </r>
  <r>
    <s v="PL-5170 Install Valves"/>
    <d v="2026-01-13T08:00:00"/>
    <d v="2026-02-02T17:00:00"/>
    <d v="2026-01-13T08:00:00"/>
    <d v="2026-02-02T17:00:00"/>
    <s v="PIPE - Welding Crew"/>
    <n v="1"/>
    <n v="155"/>
    <m/>
    <n v="1"/>
    <n v="20.375"/>
    <n v="20.375"/>
    <n v="25265"/>
    <n v="25265"/>
    <n v="25265"/>
    <n v="25265"/>
    <n v="1"/>
    <n v="1"/>
    <n v="0"/>
    <n v="0"/>
    <n v="25265"/>
    <x v="23"/>
  </r>
  <r>
    <s v="PL-5200 Watercourse Crossing"/>
    <d v="2025-08-20T08:00:00"/>
    <d v="2025-09-03T17:00:00"/>
    <d v="2025-08-20T08:00:00"/>
    <d v="2025-09-03T17:00:00"/>
    <s v="PIPE - ROW Clearing Crew"/>
    <n v="1"/>
    <n v="125"/>
    <m/>
    <n v="1"/>
    <n v="14.375"/>
    <n v="14.375"/>
    <n v="14375"/>
    <n v="14375"/>
    <n v="14375"/>
    <n v="14375"/>
    <n v="1"/>
    <n v="1"/>
    <n v="0"/>
    <n v="0"/>
    <n v="14375"/>
    <x v="17"/>
  </r>
  <r>
    <s v="PL-5210 Road Crossing"/>
    <d v="2025-08-20T08:00:00"/>
    <d v="2025-09-02T17:00:00"/>
    <d v="2025-08-20T08:00:00"/>
    <d v="2025-09-02T17:00:00"/>
    <s v="PIPE - ROW Clearing Crew"/>
    <n v="1"/>
    <n v="125"/>
    <m/>
    <n v="1"/>
    <n v="13.375"/>
    <n v="13.375"/>
    <n v="13375"/>
    <n v="13375"/>
    <n v="13375"/>
    <n v="13375"/>
    <n v="1"/>
    <n v="1"/>
    <n v="0"/>
    <n v="0"/>
    <n v="13375"/>
    <x v="17"/>
  </r>
  <r>
    <s v="PL-5220 Tie-In Spools Fab"/>
    <d v="2025-10-22T08:00:00"/>
    <d v="2025-10-29T17:00:00"/>
    <d v="2025-10-22T08:00:00"/>
    <d v="2025-10-29T17:00:00"/>
    <s v="PIPE - Welding Crew"/>
    <n v="1"/>
    <n v="155"/>
    <m/>
    <n v="1"/>
    <n v="7.375"/>
    <n v="7.375"/>
    <n v="9145"/>
    <n v="9145"/>
    <n v="9145"/>
    <n v="9145"/>
    <n v="1"/>
    <n v="1"/>
    <n v="0"/>
    <n v="0"/>
    <n v="9145"/>
    <x v="2"/>
  </r>
  <r>
    <s v="PL-5300 Hydrotest Prep"/>
    <d v="2026-02-03T08:00:00"/>
    <d v="2026-03-04T17:00:00"/>
    <d v="2026-02-03T08:00:00"/>
    <d v="2026-03-04T17:00:00"/>
    <s v="PIPE - Hydrotest Crew"/>
    <n v="1"/>
    <n v="135"/>
    <m/>
    <n v="1"/>
    <n v="29.375"/>
    <n v="29.375"/>
    <n v="31725"/>
    <n v="31725"/>
    <n v="31725"/>
    <n v="31725"/>
    <n v="1"/>
    <n v="1"/>
    <n v="0"/>
    <n v="0"/>
    <n v="31725"/>
    <x v="4"/>
  </r>
  <r>
    <s v="PL-5310 Hydrotest"/>
    <d v="2026-03-05T08:00:00"/>
    <d v="2026-03-09T17:00:00"/>
    <d v="2026-03-05T08:00:00"/>
    <s v=""/>
    <s v="PIPE - Hydrotest Crew"/>
    <n v="0"/>
    <n v="135"/>
    <m/>
    <n v="1"/>
    <n v="4.375"/>
    <n v="0"/>
    <n v="4725"/>
    <n v="0"/>
    <n v="4725"/>
    <n v="0"/>
    <s v=""/>
    <n v="0"/>
    <n v="0"/>
    <n v="-4725"/>
    <n v="4725"/>
    <x v="4"/>
  </r>
  <r>
    <s v="PL-5320 Dewater&amp; Purge"/>
    <d v="2026-03-10T08:00:00"/>
    <d v="2026-03-12T17:00:00"/>
    <s v=""/>
    <s v=""/>
    <s v="PIPE - Hydrotest Crew"/>
    <n v="0"/>
    <n v="135"/>
    <m/>
    <n v="1"/>
    <n v="2.375"/>
    <n v="0"/>
    <n v="2565"/>
    <n v="0"/>
    <n v="0"/>
    <n v="0"/>
    <s v=""/>
    <s v=""/>
    <n v="0"/>
    <n v="0"/>
    <n v="2565"/>
    <x v="4"/>
  </r>
  <r>
    <s v="PL-5330 Final Tie-Ins"/>
    <d v="2026-03-13T08:00:00"/>
    <d v="2026-03-19T17:00:00"/>
    <s v=""/>
    <s v=""/>
    <s v="PIPE - Welding Crew"/>
    <n v="0"/>
    <n v="155"/>
    <m/>
    <n v="1"/>
    <n v="6.375"/>
    <n v="0"/>
    <n v="7905"/>
    <n v="0"/>
    <n v="0"/>
    <n v="0"/>
    <s v=""/>
    <s v=""/>
    <n v="0"/>
    <n v="0"/>
    <n v="7905"/>
    <x v="4"/>
  </r>
  <r>
    <s v="PL-5340 Pipeline Mech Completion"/>
    <d v="2026-03-20T08:00:00"/>
    <d v="2026-03-26T17:00:00"/>
    <s v=""/>
    <s v=""/>
    <s v="PIPE - Pipeline Superintendent"/>
    <n v="0"/>
    <n v="140"/>
    <m/>
    <n v="1"/>
    <n v="6.375"/>
    <n v="0"/>
    <n v="7140"/>
    <n v="0"/>
    <n v="0"/>
    <n v="0"/>
    <s v=""/>
    <s v=""/>
    <n v="0"/>
    <n v="0"/>
    <n v="7140"/>
    <x v="4"/>
  </r>
  <r>
    <s v="COM-6000 Walkdowns"/>
    <d v="2026-05-12T08:00:00"/>
    <d v="2026-06-15T17:00:00"/>
    <s v=""/>
    <s v=""/>
    <s v="COM - Commissioning Lead"/>
    <n v="0"/>
    <n v="160"/>
    <m/>
    <n v="1"/>
    <n v="34.375"/>
    <n v="0"/>
    <n v="44000"/>
    <n v="0"/>
    <n v="0"/>
    <n v="0"/>
    <s v=""/>
    <s v=""/>
    <n v="0"/>
    <n v="0"/>
    <n v="44000"/>
    <x v="5"/>
  </r>
  <r>
    <s v="COM-6010 Flushing"/>
    <d v="2026-03-10T08:00:00"/>
    <d v="2026-03-30T17:00:00"/>
    <s v=""/>
    <s v=""/>
    <s v="MECH - Hydrotest Crew"/>
    <n v="0"/>
    <n v="135"/>
    <m/>
    <n v="1"/>
    <n v="20.375"/>
    <n v="0"/>
    <n v="22005"/>
    <n v="0"/>
    <n v="0"/>
    <n v="0"/>
    <s v=""/>
    <s v=""/>
    <n v="0"/>
    <n v="0"/>
    <n v="22005"/>
    <x v="4"/>
  </r>
  <r>
    <s v="COM-6020 Utilities Commissioning"/>
    <d v="2026-03-11T08:00:00"/>
    <d v="2026-03-24T17:00:00"/>
    <s v=""/>
    <s v=""/>
    <s v="COM - Commissioning Lead"/>
    <n v="0"/>
    <n v="160"/>
    <m/>
    <n v="1"/>
    <n v="13.375"/>
    <n v="0"/>
    <n v="17120"/>
    <n v="0"/>
    <n v="0"/>
    <n v="0"/>
    <s v=""/>
    <s v=""/>
    <n v="0"/>
    <n v="0"/>
    <n v="17120"/>
    <x v="4"/>
  </r>
  <r>
    <s v="COM-6030 Early Energization"/>
    <d v="2026-03-11T08:00:00"/>
    <d v="2026-03-24T17:00:00"/>
    <s v=""/>
    <s v=""/>
    <s v="COM - Commissioning Lead"/>
    <n v="0"/>
    <n v="160"/>
    <m/>
    <n v="1"/>
    <n v="13.375"/>
    <n v="0"/>
    <n v="17120"/>
    <n v="0"/>
    <n v="0"/>
    <n v="0"/>
    <s v=""/>
    <s v=""/>
    <n v="0"/>
    <n v="0"/>
    <n v="17120"/>
    <x v="4"/>
  </r>
  <r>
    <s v="COM-6040 Controls Testing"/>
    <d v="2026-04-15T08:00:00"/>
    <d v="2026-05-05T17:00:00"/>
    <s v=""/>
    <s v=""/>
    <s v="COM - Controls/Loop Check Team"/>
    <n v="0"/>
    <n v="145"/>
    <m/>
    <n v="1"/>
    <n v="20.375"/>
    <n v="0"/>
    <n v="23635"/>
    <n v="0"/>
    <n v="0"/>
    <n v="0"/>
    <s v=""/>
    <s v=""/>
    <n v="0"/>
    <n v="0"/>
    <n v="23635"/>
    <x v="3"/>
  </r>
  <r>
    <s v="COM-6050 Cause&amp; Effect Testing"/>
    <d v="2026-05-06T08:00:00"/>
    <d v="2026-06-02T17:00:00"/>
    <s v=""/>
    <s v=""/>
    <s v="COM - Controls/Loop Check Team"/>
    <n v="0"/>
    <n v="145"/>
    <m/>
    <n v="1"/>
    <n v="27.375"/>
    <n v="0"/>
    <n v="31755"/>
    <n v="0"/>
    <n v="0"/>
    <n v="0"/>
    <s v=""/>
    <s v=""/>
    <n v="0"/>
    <n v="0"/>
    <n v="31755"/>
    <x v="5"/>
  </r>
  <r>
    <s v="COM-6060 Pre-Comm Complete"/>
    <d v="2026-06-16T08:00:00"/>
    <d v="2026-06-29T17:00:00"/>
    <s v=""/>
    <s v=""/>
    <s v="COM - Commissioning Lead"/>
    <n v="0"/>
    <n v="160"/>
    <m/>
    <n v="1"/>
    <n v="13.375"/>
    <n v="0"/>
    <n v="17120"/>
    <n v="0"/>
    <n v="0"/>
    <n v="0"/>
    <s v=""/>
    <s v=""/>
    <n v="0"/>
    <n v="0"/>
    <n v="17120"/>
    <x v="5"/>
  </r>
  <r>
    <s v="COM-6100 Introduce Gas"/>
    <d v="2026-06-30T08:00:00"/>
    <d v="2026-07-27T17:00:00"/>
    <s v=""/>
    <s v=""/>
    <s v="COM - Operators/Start-Up Team"/>
    <n v="0"/>
    <n v="120"/>
    <m/>
    <n v="1"/>
    <n v="27.375"/>
    <n v="0"/>
    <n v="26280"/>
    <n v="0"/>
    <n v="0"/>
    <n v="0"/>
    <s v=""/>
    <s v=""/>
    <n v="0"/>
    <n v="0"/>
    <n v="26280"/>
    <x v="25"/>
  </r>
  <r>
    <s v="COM-6110 Start Compressor"/>
    <d v="2026-07-28T08:00:00"/>
    <d v="2026-07-30T17:00:00"/>
    <s v=""/>
    <s v=""/>
    <s v="COM - Operators/Start-Up Team"/>
    <n v="0"/>
    <n v="120"/>
    <m/>
    <n v="1"/>
    <n v="2.375"/>
    <n v="0"/>
    <n v="2280"/>
    <n v="0"/>
    <n v="0"/>
    <n v="0"/>
    <s v=""/>
    <s v=""/>
    <n v="0"/>
    <n v="0"/>
    <n v="2280"/>
    <x v="25"/>
  </r>
  <r>
    <s v="COM-6120 Ramp to Stable Ops"/>
    <d v="2026-07-31T08:00:00"/>
    <d v="2026-08-13T17:00:00"/>
    <s v=""/>
    <s v=""/>
    <s v="COM - Operators/Start-Up Team"/>
    <n v="0"/>
    <n v="120"/>
    <m/>
    <n v="1"/>
    <n v="13.375"/>
    <n v="0"/>
    <n v="12840"/>
    <n v="0"/>
    <n v="0"/>
    <n v="0"/>
    <s v=""/>
    <s v=""/>
    <n v="0"/>
    <n v="0"/>
    <n v="12840"/>
    <x v="6"/>
  </r>
  <r>
    <s v="COM-6130 Ready for Start-Up"/>
    <d v="2026-06-30T08:00:00"/>
    <d v="2026-07-06T17:00:00"/>
    <s v=""/>
    <s v=""/>
    <s v="COM - Operators/Start-Up Team"/>
    <n v="0"/>
    <n v="120"/>
    <m/>
    <n v="1"/>
    <n v="6.375"/>
    <n v="0"/>
    <n v="6120"/>
    <n v="0"/>
    <n v="0"/>
    <n v="0"/>
    <s v=""/>
    <s v=""/>
    <n v="0"/>
    <n v="0"/>
    <n v="6120"/>
    <x v="25"/>
  </r>
  <r>
    <s v="COM-6140 First Gas"/>
    <d v="2026-08-14T08:00:00"/>
    <s v=""/>
    <s v=""/>
    <s v=""/>
    <s v=""/>
    <n v="0"/>
    <s v=""/>
    <m/>
    <n v="1"/>
    <n v="0"/>
    <n v="0"/>
    <n v="0"/>
    <n v="0"/>
    <n v="0"/>
    <n v="0"/>
    <s v=""/>
    <s v=""/>
    <n v="0"/>
    <n v="0"/>
    <n v="0"/>
    <x v="6"/>
  </r>
  <r>
    <s v="COM-6150 Performance Test"/>
    <d v="2026-08-14T08:00:00"/>
    <d v="2026-08-24T17:00:00"/>
    <s v=""/>
    <s v=""/>
    <s v="COM - Operators/Start-Up Team"/>
    <n v="0"/>
    <n v="120"/>
    <m/>
    <n v="1"/>
    <n v="10.375"/>
    <n v="0"/>
    <n v="9960"/>
    <n v="0"/>
    <n v="0"/>
    <n v="0"/>
    <s v=""/>
    <s v=""/>
    <n v="0"/>
    <n v="0"/>
    <n v="9960"/>
    <x v="6"/>
  </r>
  <r>
    <s v="COM-6160 Performance Test Passed"/>
    <d v="2026-08-25T08:00:00"/>
    <d v="2026-09-07T17:00:00"/>
    <s v=""/>
    <s v=""/>
    <s v="COM - Commissioning Lead"/>
    <n v="0"/>
    <n v="160"/>
    <m/>
    <n v="1"/>
    <n v="13.375"/>
    <n v="0"/>
    <n v="17120"/>
    <n v="0"/>
    <n v="0"/>
    <n v="0"/>
    <s v=""/>
    <s v=""/>
    <n v="0"/>
    <n v="0"/>
    <n v="17120"/>
    <x v="7"/>
  </r>
  <r>
    <s v="CLO-7000 Punchlist Close"/>
    <d v="2026-09-22T08:00:00"/>
    <d v="2026-10-19T17:00:00"/>
    <s v=""/>
    <s v=""/>
    <s v=""/>
    <n v="0"/>
    <s v=""/>
    <m/>
    <n v="1"/>
    <n v="27.375"/>
    <n v="0"/>
    <n v="0"/>
    <n v="0"/>
    <n v="0"/>
    <n v="0"/>
    <s v=""/>
    <s v=""/>
    <n v="0"/>
    <n v="0"/>
    <n v="0"/>
    <x v="8"/>
  </r>
  <r>
    <s v="CLO-7010 As-Builts"/>
    <d v="2026-08-25T08:00:00"/>
    <d v="2026-09-21T17:00:00"/>
    <s v=""/>
    <s v=""/>
    <s v="CLO - Turnover/As-Builts Team"/>
    <n v="0"/>
    <n v="95"/>
    <m/>
    <n v="1"/>
    <n v="27.375"/>
    <n v="0"/>
    <n v="20805"/>
    <n v="0"/>
    <n v="0"/>
    <n v="0"/>
    <s v=""/>
    <s v=""/>
    <n v="0"/>
    <n v="0"/>
    <n v="20805"/>
    <x v="7"/>
  </r>
  <r>
    <s v="CLO-7020 O&amp;M Manuals"/>
    <d v="2026-08-25T08:00:00"/>
    <d v="2026-09-21T17:00:00"/>
    <s v=""/>
    <s v=""/>
    <s v="CLO - Turnover/As-Builts Team"/>
    <n v="0"/>
    <n v="95"/>
    <m/>
    <n v="1"/>
    <n v="27.375"/>
    <n v="0"/>
    <n v="20805"/>
    <n v="0"/>
    <n v="0"/>
    <n v="0"/>
    <s v=""/>
    <s v=""/>
    <n v="0"/>
    <n v="0"/>
    <n v="20805"/>
    <x v="7"/>
  </r>
  <r>
    <s v="CLO-7030 Training"/>
    <d v="2026-08-25T08:00:00"/>
    <d v="2026-09-14T17:00:00"/>
    <s v=""/>
    <s v=""/>
    <s v="CLO - Training Coordinator"/>
    <n v="0"/>
    <n v="90"/>
    <m/>
    <n v="1"/>
    <n v="20.375"/>
    <n v="0"/>
    <n v="14670"/>
    <n v="0"/>
    <n v="0"/>
    <n v="0"/>
    <s v=""/>
    <s v=""/>
    <n v="0"/>
    <n v="0"/>
    <n v="1467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46EFF-4090-4A20-AE83-875691CBCF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3:D30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numFmtId="2" showAll="0"/>
    <pivotField numFmtId="1" showAll="0"/>
    <pivotField numFmtId="1" showAll="0"/>
    <pivotField numFmtId="165" showAll="0"/>
    <pivotField dataField="1" numFmtId="165" showAll="0"/>
    <pivotField dataField="1" numFmtId="165" showAll="0"/>
    <pivotField dataField="1" numFmtId="165" showAll="0"/>
    <pivotField showAll="0"/>
    <pivotField showAll="0"/>
    <pivotField numFmtId="165" showAll="0"/>
    <pivotField numFmtId="165" showAll="0"/>
    <pivotField numFmtId="165" showAll="0"/>
    <pivotField axis="axisRow" numFmtId="14" showAll="0">
      <items count="27">
        <item x="0"/>
        <item x="9"/>
        <item x="13"/>
        <item x="14"/>
        <item x="15"/>
        <item x="10"/>
        <item x="16"/>
        <item x="11"/>
        <item x="12"/>
        <item x="1"/>
        <item x="18"/>
        <item x="19"/>
        <item x="17"/>
        <item x="2"/>
        <item x="20"/>
        <item x="21"/>
        <item x="22"/>
        <item x="23"/>
        <item x="4"/>
        <item x="24"/>
        <item x="3"/>
        <item x="5"/>
        <item x="25"/>
        <item x="6"/>
        <item x="7"/>
        <item x="8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V" fld="14" baseField="0" baseItem="0" numFmtId="165"/>
    <dataField name="Sum of EV" fld="15" baseField="0" baseItem="0" numFmtId="165"/>
    <dataField name="Sum of AC" fld="13" baseField="0" baseItem="0" numFmtId="165"/>
  </dataFields>
  <formats count="4">
    <format dxfId="3">
      <pivotArea field="2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collapsedLevelsAreSubtotals="1" fieldPosition="0">
        <references count="1">
          <reference field="21" count="1">
            <x v="25"/>
          </reference>
        </references>
      </pivotArea>
    </format>
    <format dxfId="0">
      <pivotArea dataOnly="0" labelOnly="1" fieldPosition="0">
        <references count="1">
          <reference field="21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7428CB-3791-4ADF-A48E-52834D605597}" name="Table3" displayName="Table3" ref="A3:V211" totalsRowShown="0">
  <autoFilter ref="A3:V211" xr:uid="{1A7428CB-3791-4ADF-A48E-52834D605597}"/>
  <tableColumns count="22">
    <tableColumn id="1" xr3:uid="{D82D6E92-8C3B-4FA0-8FF8-13FA4ACBE2C9}" name="Activity Name"/>
    <tableColumn id="2" xr3:uid="{27E221CC-411A-4883-AB35-B36917C4AFFC}" name="BL Project Start" dataDxfId="33"/>
    <tableColumn id="3" xr3:uid="{60B45688-92EF-4037-A1F3-8AA78D564CB1}" name="BL Project Finish" dataDxfId="32"/>
    <tableColumn id="4" xr3:uid="{949788DC-A170-488E-A804-70DAFC71EFF8}" name="Actual Start"/>
    <tableColumn id="5" xr3:uid="{A5AC787E-9CAC-4114-938C-D57044D70CC6}" name="Actual Finish"/>
    <tableColumn id="6" xr3:uid="{6E6A5985-9902-45CD-B654-E4D6FE062E5B}" name="Resources"/>
    <tableColumn id="7" xr3:uid="{084F24BC-83C1-483F-A9C2-DF3E44FBED90}" name="% Work Complete"/>
    <tableColumn id="8" xr3:uid="{C4A6860A-CF45-4A7A-962D-3EA1FCB79EE8}" name="Labour Rate (per hour)"/>
    <tableColumn id="9" xr3:uid="{D9FAC45A-890E-4AF9-9F24-E4F4A2DCAD88}" name="Material Cost"/>
    <tableColumn id="10" xr3:uid="{D292A301-8760-4233-81F1-9DD221FC00B4}" name="Utilization (%)"/>
    <tableColumn id="11" xr3:uid="{BD482781-5729-416F-AB2C-69F96A147A55}" name="Baseline Duration (Days)"/>
    <tableColumn id="12" xr3:uid="{4404E73A-6D31-4CD2-8F40-FBB6FD9613DC}" name="Actual Duration (Days)"/>
    <tableColumn id="13" xr3:uid="{350CF046-A6C6-4CD9-9C92-E21DAA9BEF0A}" name="PC"/>
    <tableColumn id="14" xr3:uid="{845D165F-9F48-41EB-B518-E5BA3DD2156D}" name="AC"/>
    <tableColumn id="15" xr3:uid="{A9D89DDD-6E75-4943-A597-38F1D3C4EDE6}" name="PV"/>
    <tableColumn id="16" xr3:uid="{C30935A7-3DA5-443A-9F62-E385E1F5BC36}" name="EV"/>
    <tableColumn id="17" xr3:uid="{256485C1-BC8A-4609-B3FE-17C35D337860}" name="CPI"/>
    <tableColumn id="18" xr3:uid="{8AF245E6-A2C2-47ED-A69F-13CFB4E962F6}" name="SPI"/>
    <tableColumn id="19" xr3:uid="{909ADD2C-57D9-417F-A637-87E994EB5FFD}" name="CV"/>
    <tableColumn id="20" xr3:uid="{F3E0AE59-9C3A-42C5-A538-A9E8ABCB67C1}" name="SV"/>
    <tableColumn id="21" xr3:uid="{3F28B4D9-31D7-40BB-B2CB-C5BBDB7E1329}" name="EAC"/>
    <tableColumn id="22" xr3:uid="{555A4CDA-CC88-4929-84E6-7B42969BAE42}" name="PV_Month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6E255-35C9-4AEF-8D12-829D1ECA107E}" name="Table2" displayName="Table2" ref="A4:V213" totalsRowCount="1" headerRowDxfId="30" dataDxfId="28" headerRowBorderDxfId="29" tableBorderDxfId="27">
  <autoFilter ref="A4:V212" xr:uid="{0116E255-35C9-4AEF-8D12-829D1ECA107E}"/>
  <tableColumns count="22">
    <tableColumn id="1" xr3:uid="{5B4ED894-68D7-4056-9180-14DA68BC03CF}" name="Activity Name" totalsRowDxfId="26"/>
    <tableColumn id="2" xr3:uid="{0682D72A-81B8-4F43-B8F7-70C5AA107C35}" name="BL Project Start" totalsRowDxfId="25"/>
    <tableColumn id="3" xr3:uid="{02186FD0-3180-46BB-8A47-182C166B4403}" name="BL Project Finish" totalsRowDxfId="24"/>
    <tableColumn id="4" xr3:uid="{39848A70-7424-4C9B-A3A4-C233AF5A8F90}" name="Actual Start" totalsRowDxfId="23"/>
    <tableColumn id="5" xr3:uid="{EE2338BB-351D-4FDB-9413-EF6FCD72D5DC}" name="Actual Finish" totalsRowDxfId="22"/>
    <tableColumn id="6" xr3:uid="{702B32DB-2373-4665-9287-BB47AFF70EE3}" name="Resources" totalsRowDxfId="21"/>
    <tableColumn id="7" xr3:uid="{04052BAC-63D3-427E-8FB9-D6850787E580}" name="% Work Complete" totalsRowDxfId="20" dataCellStyle="Percent"/>
    <tableColumn id="8" xr3:uid="{3FAF5DF9-4A43-4831-9B76-5042995AC979}" name="Labour Rate (per hour)" totalsRowDxfId="19"/>
    <tableColumn id="9" xr3:uid="{8CA5CD31-B8B3-45DF-B5E0-0617DE1110FE}" name="Material Cost" totalsRowDxfId="18"/>
    <tableColumn id="10" xr3:uid="{9EC6CC1E-4924-40A5-85FE-9B959FB4B785}" name="Utilization (%)" totalsRowDxfId="17"/>
    <tableColumn id="11" xr3:uid="{F6DF7AFC-8440-45FE-851B-6349B09E3DF5}" name="Baseline Duration (Days)" totalsRowDxfId="16">
      <calculatedColumnFormula>IFERROR(C5-B5, 0)</calculatedColumnFormula>
    </tableColumn>
    <tableColumn id="12" xr3:uid="{527626DD-3987-419D-A228-AEE232EFE832}" name="Actual Duration (Days)" totalsRowDxfId="15">
      <calculatedColumnFormula>IFERROR(E5-D5, 0)</calculatedColumnFormula>
    </tableColumn>
    <tableColumn id="13" xr3:uid="{5F35CAB5-7A47-4955-8CE0-92F0A6B8B962}" name="BAC" totalsRowFunction="custom" totalsRowDxfId="14" dataCellStyle="Currency">
      <calculatedColumnFormula>IFERROR(H5*$B$3*K5*J5, 0)+I5</calculatedColumnFormula>
      <totalsRowFormula>SUM(Table2[BAC])</totalsRowFormula>
    </tableColumn>
    <tableColumn id="14" xr3:uid="{389915CD-DAE1-4D3B-AF40-11687A6A9564}" name="AC" totalsRowFunction="custom" totalsRowDxfId="13">
      <calculatedColumnFormula>IFERROR(H5*$B$3*L5*J5, 0)+I5</calculatedColumnFormula>
      <totalsRowFormula>SUM(Table2[AC])</totalsRowFormula>
    </tableColumn>
    <tableColumn id="15" xr3:uid="{75CA73EE-03F5-4307-A2F2-44F4D5C4A7A6}" name="PV" totalsRowFunction="custom" dataDxfId="12" totalsRowDxfId="11">
      <calculatedColumnFormula>IF(Table2[[#This Row],[BL Project Start]]&gt;$B$2, 0,M5)</calculatedColumnFormula>
      <totalsRowFormula>SUM(Table2[PV])</totalsRowFormula>
    </tableColumn>
    <tableColumn id="16" xr3:uid="{AFC3AE88-1394-45E9-AAAD-F0C14D2C9AAC}" name="EV" totalsRowFunction="custom" totalsRowDxfId="10">
      <calculatedColumnFormula>M5*G5</calculatedColumnFormula>
      <totalsRowFormula>SUM(Table2[EV])</totalsRowFormula>
    </tableColumn>
    <tableColumn id="17" xr3:uid="{24E0F251-D917-44E0-8ADD-6B5F67BF3056}" name="CPI" totalsRowDxfId="9">
      <calculatedColumnFormula>IFERROR(P5/N5, "")</calculatedColumnFormula>
    </tableColumn>
    <tableColumn id="18" xr3:uid="{3AC468F1-EF9D-4342-9BEC-D5D76B478688}" name="SPI" totalsRowDxfId="8">
      <calculatedColumnFormula>IFERROR(P5/O5, "")</calculatedColumnFormula>
    </tableColumn>
    <tableColumn id="19" xr3:uid="{D949762E-2D27-4930-9E03-645E9E050B9B}" name="CV" totalsRowDxfId="7">
      <calculatedColumnFormula>P5-N5</calculatedColumnFormula>
    </tableColumn>
    <tableColumn id="20" xr3:uid="{BBD606AA-3C52-415F-B385-135817DBAAEB}" name="SV" totalsRowDxfId="6">
      <calculatedColumnFormula>P5-O5</calculatedColumnFormula>
    </tableColumn>
    <tableColumn id="21" xr3:uid="{0C3D33C4-CADE-4CCB-B851-FB4ECB5181C3}" name="EAC" totalsRowDxfId="5">
      <calculatedColumnFormula>N5+(M5-P5)</calculatedColumnFormula>
    </tableColumn>
    <tableColumn id="22" xr3:uid="{EF63CDC1-2393-4E1F-A74C-D8A980F7506B}" name="PV_Month" totalsRowDxfId="4">
      <calculatedColumnFormula>EOMONTH(IF($C5="",$B5,$C5),0)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53BB-5F00-4F14-9F77-E2EC902F8164}">
  <dimension ref="A1:V211"/>
  <sheetViews>
    <sheetView topLeftCell="G1" workbookViewId="0">
      <selection activeCell="Q6" sqref="Q6"/>
    </sheetView>
  </sheetViews>
  <sheetFormatPr defaultRowHeight="14.5" x14ac:dyDescent="0.35"/>
  <cols>
    <col min="1" max="1" width="45.26953125" bestFit="1" customWidth="1"/>
    <col min="2" max="2" width="17.1796875" bestFit="1" customWidth="1"/>
    <col min="3" max="3" width="18.26953125" bestFit="1" customWidth="1"/>
    <col min="4" max="4" width="14.54296875" bestFit="1" customWidth="1"/>
    <col min="5" max="5" width="15.54296875" bestFit="1" customWidth="1"/>
    <col min="6" max="6" width="32.7265625" bestFit="1" customWidth="1"/>
    <col min="7" max="7" width="19.7265625" bestFit="1" customWidth="1"/>
    <col min="8" max="8" width="23.81640625" bestFit="1" customWidth="1"/>
    <col min="9" max="9" width="15.453125" bestFit="1" customWidth="1"/>
    <col min="10" max="10" width="16" bestFit="1" customWidth="1"/>
    <col min="11" max="11" width="26" bestFit="1" customWidth="1"/>
    <col min="12" max="12" width="23.81640625" bestFit="1" customWidth="1"/>
    <col min="13" max="21" width="9.26953125" bestFit="1" customWidth="1"/>
    <col min="22" max="22" width="12.1796875" bestFit="1" customWidth="1"/>
  </cols>
  <sheetData>
    <row r="1" spans="1:22" x14ac:dyDescent="0.35">
      <c r="A1" s="57" t="s">
        <v>706</v>
      </c>
    </row>
    <row r="3" spans="1:22" x14ac:dyDescent="0.35">
      <c r="A3" t="s">
        <v>676</v>
      </c>
      <c r="B3" t="s">
        <v>649</v>
      </c>
      <c r="C3" t="s">
        <v>650</v>
      </c>
      <c r="D3" t="s">
        <v>651</v>
      </c>
      <c r="E3" t="s">
        <v>652</v>
      </c>
      <c r="F3" t="s">
        <v>677</v>
      </c>
      <c r="G3" t="s">
        <v>696</v>
      </c>
      <c r="H3" t="s">
        <v>686</v>
      </c>
      <c r="I3" t="s">
        <v>682</v>
      </c>
      <c r="J3" t="s">
        <v>685</v>
      </c>
      <c r="K3" t="s">
        <v>680</v>
      </c>
      <c r="L3" t="s">
        <v>681</v>
      </c>
      <c r="M3" t="s">
        <v>692</v>
      </c>
      <c r="N3" t="s">
        <v>691</v>
      </c>
      <c r="O3" t="s">
        <v>690</v>
      </c>
      <c r="P3" t="s">
        <v>689</v>
      </c>
      <c r="Q3" t="s">
        <v>687</v>
      </c>
      <c r="R3" t="s">
        <v>688</v>
      </c>
      <c r="S3" t="s">
        <v>693</v>
      </c>
      <c r="T3" t="s">
        <v>694</v>
      </c>
      <c r="U3" t="s">
        <v>695</v>
      </c>
      <c r="V3" t="s">
        <v>698</v>
      </c>
    </row>
    <row r="4" spans="1:22" x14ac:dyDescent="0.35">
      <c r="A4" t="s">
        <v>4</v>
      </c>
      <c r="B4" s="58">
        <v>45560.333333333336</v>
      </c>
      <c r="C4" t="s">
        <v>5</v>
      </c>
      <c r="D4" s="58">
        <v>45560.333333333336</v>
      </c>
      <c r="E4" t="s">
        <v>5</v>
      </c>
      <c r="F4" t="s">
        <v>5</v>
      </c>
      <c r="G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5</v>
      </c>
      <c r="R4" t="s">
        <v>5</v>
      </c>
      <c r="S4">
        <v>0</v>
      </c>
      <c r="T4">
        <v>0</v>
      </c>
      <c r="U4">
        <v>0</v>
      </c>
      <c r="V4" s="59">
        <v>45565</v>
      </c>
    </row>
    <row r="5" spans="1:22" x14ac:dyDescent="0.35">
      <c r="A5" t="s">
        <v>26</v>
      </c>
      <c r="B5" s="58">
        <v>45560.333333333336</v>
      </c>
      <c r="C5" t="s">
        <v>5</v>
      </c>
      <c r="D5" t="s">
        <v>5</v>
      </c>
      <c r="E5" t="s">
        <v>5</v>
      </c>
      <c r="F5" t="s">
        <v>5</v>
      </c>
      <c r="G5">
        <v>0</v>
      </c>
      <c r="H5" t="s">
        <v>5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5</v>
      </c>
      <c r="R5" t="s">
        <v>5</v>
      </c>
      <c r="S5">
        <v>0</v>
      </c>
      <c r="T5">
        <v>0</v>
      </c>
      <c r="U5">
        <v>0</v>
      </c>
      <c r="V5" s="59">
        <v>45565</v>
      </c>
    </row>
    <row r="6" spans="1:22" x14ac:dyDescent="0.35">
      <c r="A6" t="s">
        <v>28</v>
      </c>
      <c r="B6" s="58">
        <v>45560.333333333336</v>
      </c>
      <c r="C6" s="58">
        <v>45569.708333333336</v>
      </c>
      <c r="D6" s="58">
        <v>45560.333333333336</v>
      </c>
      <c r="E6" s="58">
        <v>45569.708333333336</v>
      </c>
      <c r="F6" t="s">
        <v>29</v>
      </c>
      <c r="G6">
        <v>1</v>
      </c>
      <c r="H6">
        <v>140</v>
      </c>
      <c r="J6">
        <v>1</v>
      </c>
      <c r="K6">
        <v>9.375</v>
      </c>
      <c r="L6">
        <v>9.375</v>
      </c>
      <c r="M6">
        <v>10500</v>
      </c>
      <c r="N6">
        <v>10500</v>
      </c>
      <c r="O6">
        <v>10500</v>
      </c>
      <c r="P6">
        <v>10500</v>
      </c>
      <c r="Q6">
        <v>1</v>
      </c>
      <c r="R6">
        <v>1</v>
      </c>
      <c r="S6">
        <v>0</v>
      </c>
      <c r="T6">
        <v>0</v>
      </c>
      <c r="U6">
        <v>10500</v>
      </c>
      <c r="V6" s="59">
        <v>45596</v>
      </c>
    </row>
    <row r="7" spans="1:22" x14ac:dyDescent="0.35">
      <c r="A7" t="s">
        <v>31</v>
      </c>
      <c r="B7" s="58">
        <v>45572.333333333336</v>
      </c>
      <c r="C7" s="58">
        <v>45587.708333333336</v>
      </c>
      <c r="D7" s="58">
        <v>45572.333333333336</v>
      </c>
      <c r="E7" s="58">
        <v>45587.708333333336</v>
      </c>
      <c r="F7" t="s">
        <v>32</v>
      </c>
      <c r="G7">
        <v>1</v>
      </c>
      <c r="H7">
        <v>120</v>
      </c>
      <c r="J7">
        <v>1</v>
      </c>
      <c r="K7">
        <v>15.375</v>
      </c>
      <c r="L7">
        <v>15.375</v>
      </c>
      <c r="M7">
        <v>14760</v>
      </c>
      <c r="N7">
        <v>14760</v>
      </c>
      <c r="O7">
        <v>14760</v>
      </c>
      <c r="P7">
        <v>14760</v>
      </c>
      <c r="Q7">
        <v>1</v>
      </c>
      <c r="R7">
        <v>1</v>
      </c>
      <c r="S7">
        <v>0</v>
      </c>
      <c r="T7">
        <v>0</v>
      </c>
      <c r="U7">
        <v>14760</v>
      </c>
      <c r="V7" s="59">
        <v>45596</v>
      </c>
    </row>
    <row r="8" spans="1:22" x14ac:dyDescent="0.35">
      <c r="A8" t="s">
        <v>34</v>
      </c>
      <c r="B8" s="58">
        <v>45572.333333333336</v>
      </c>
      <c r="C8" s="58">
        <v>45576.708333333336</v>
      </c>
      <c r="D8" s="58">
        <v>45572.333333333336</v>
      </c>
      <c r="E8" s="58">
        <v>45576.708333333336</v>
      </c>
      <c r="F8" t="s">
        <v>35</v>
      </c>
      <c r="G8">
        <v>1</v>
      </c>
      <c r="H8">
        <v>120</v>
      </c>
      <c r="J8">
        <v>1</v>
      </c>
      <c r="K8">
        <v>4.375</v>
      </c>
      <c r="L8">
        <v>4.375</v>
      </c>
      <c r="M8">
        <v>4200</v>
      </c>
      <c r="N8">
        <v>4200</v>
      </c>
      <c r="O8">
        <v>4200</v>
      </c>
      <c r="P8">
        <v>4200</v>
      </c>
      <c r="Q8">
        <v>1</v>
      </c>
      <c r="R8">
        <v>1</v>
      </c>
      <c r="S8">
        <v>0</v>
      </c>
      <c r="T8">
        <v>0</v>
      </c>
      <c r="U8">
        <v>4200</v>
      </c>
      <c r="V8" s="59">
        <v>45596</v>
      </c>
    </row>
    <row r="9" spans="1:22" x14ac:dyDescent="0.35">
      <c r="A9" t="s">
        <v>37</v>
      </c>
      <c r="B9" s="58">
        <v>45588.333333333336</v>
      </c>
      <c r="C9" s="58">
        <v>45589.708333333336</v>
      </c>
      <c r="D9" s="58">
        <v>45588.333333333336</v>
      </c>
      <c r="E9" s="58">
        <v>45589.708333333336</v>
      </c>
      <c r="F9" t="s">
        <v>38</v>
      </c>
      <c r="G9">
        <v>1</v>
      </c>
      <c r="H9">
        <v>150</v>
      </c>
      <c r="J9">
        <v>1</v>
      </c>
      <c r="K9">
        <v>1.375</v>
      </c>
      <c r="L9">
        <v>1.375</v>
      </c>
      <c r="M9">
        <v>1650</v>
      </c>
      <c r="N9">
        <v>1650</v>
      </c>
      <c r="O9">
        <v>1650</v>
      </c>
      <c r="P9">
        <v>1650</v>
      </c>
      <c r="Q9">
        <v>1</v>
      </c>
      <c r="R9">
        <v>1</v>
      </c>
      <c r="S9">
        <v>0</v>
      </c>
      <c r="T9">
        <v>0</v>
      </c>
      <c r="U9">
        <v>1650</v>
      </c>
      <c r="V9" s="59">
        <v>45596</v>
      </c>
    </row>
    <row r="10" spans="1:22" x14ac:dyDescent="0.35">
      <c r="A10" t="s">
        <v>40</v>
      </c>
      <c r="B10" s="58">
        <v>45572.333333333336</v>
      </c>
      <c r="C10" s="58">
        <v>45581.708333333336</v>
      </c>
      <c r="D10" s="58">
        <v>45572.333333333336</v>
      </c>
      <c r="E10" s="58">
        <v>45581.708333333336</v>
      </c>
      <c r="F10" t="s">
        <v>29</v>
      </c>
      <c r="G10">
        <v>1</v>
      </c>
      <c r="H10">
        <v>140</v>
      </c>
      <c r="J10">
        <v>1</v>
      </c>
      <c r="K10">
        <v>9.375</v>
      </c>
      <c r="L10">
        <v>9.375</v>
      </c>
      <c r="M10">
        <v>10500</v>
      </c>
      <c r="N10">
        <v>10500</v>
      </c>
      <c r="O10">
        <v>10500</v>
      </c>
      <c r="P10">
        <v>10500</v>
      </c>
      <c r="Q10">
        <v>1</v>
      </c>
      <c r="R10">
        <v>1</v>
      </c>
      <c r="S10">
        <v>0</v>
      </c>
      <c r="T10">
        <v>0</v>
      </c>
      <c r="U10">
        <v>10500</v>
      </c>
      <c r="V10" s="59">
        <v>45596</v>
      </c>
    </row>
    <row r="11" spans="1:22" x14ac:dyDescent="0.35">
      <c r="A11" t="s">
        <v>42</v>
      </c>
      <c r="B11" s="58">
        <v>45572.333333333336</v>
      </c>
      <c r="C11" s="58">
        <v>45574.708333333336</v>
      </c>
      <c r="D11" s="58">
        <v>45572.333333333336</v>
      </c>
      <c r="E11" s="58">
        <v>45574.708333333336</v>
      </c>
      <c r="F11" t="s">
        <v>29</v>
      </c>
      <c r="G11">
        <v>1</v>
      </c>
      <c r="H11">
        <v>140</v>
      </c>
      <c r="J11">
        <v>1</v>
      </c>
      <c r="K11">
        <v>2.375</v>
      </c>
      <c r="L11">
        <v>2.375</v>
      </c>
      <c r="M11">
        <v>2660</v>
      </c>
      <c r="N11">
        <v>2660</v>
      </c>
      <c r="O11">
        <v>2660</v>
      </c>
      <c r="P11">
        <v>2660</v>
      </c>
      <c r="Q11">
        <v>1</v>
      </c>
      <c r="R11">
        <v>1</v>
      </c>
      <c r="S11">
        <v>0</v>
      </c>
      <c r="T11">
        <v>0</v>
      </c>
      <c r="U11">
        <v>2660</v>
      </c>
      <c r="V11" s="59">
        <v>45596</v>
      </c>
    </row>
    <row r="12" spans="1:22" x14ac:dyDescent="0.35">
      <c r="A12" t="s">
        <v>44</v>
      </c>
      <c r="B12" s="58">
        <v>45572.333333333336</v>
      </c>
      <c r="C12" s="58">
        <v>45574.708333333336</v>
      </c>
      <c r="D12" s="58">
        <v>45572.333333333336</v>
      </c>
      <c r="E12" s="58">
        <v>45574.708333333336</v>
      </c>
      <c r="F12" t="s">
        <v>29</v>
      </c>
      <c r="G12">
        <v>1</v>
      </c>
      <c r="H12">
        <v>140</v>
      </c>
      <c r="J12">
        <v>1</v>
      </c>
      <c r="K12">
        <v>2.375</v>
      </c>
      <c r="L12">
        <v>2.375</v>
      </c>
      <c r="M12">
        <v>2660</v>
      </c>
      <c r="N12">
        <v>2660</v>
      </c>
      <c r="O12">
        <v>2660</v>
      </c>
      <c r="P12">
        <v>2660</v>
      </c>
      <c r="Q12">
        <v>1</v>
      </c>
      <c r="R12">
        <v>1</v>
      </c>
      <c r="S12">
        <v>0</v>
      </c>
      <c r="T12">
        <v>0</v>
      </c>
      <c r="U12">
        <v>2660</v>
      </c>
      <c r="V12" s="59">
        <v>45596</v>
      </c>
    </row>
    <row r="13" spans="1:22" x14ac:dyDescent="0.35">
      <c r="A13" t="s">
        <v>46</v>
      </c>
      <c r="B13" s="58">
        <v>45561.333333333336</v>
      </c>
      <c r="C13" s="58">
        <v>45572.708333333336</v>
      </c>
      <c r="D13" s="58">
        <v>45561.333333333336</v>
      </c>
      <c r="E13" s="58">
        <v>45572.708333333336</v>
      </c>
      <c r="F13" t="s">
        <v>47</v>
      </c>
      <c r="G13">
        <v>1</v>
      </c>
      <c r="H13">
        <v>145</v>
      </c>
      <c r="J13">
        <v>1</v>
      </c>
      <c r="K13">
        <v>11.375</v>
      </c>
      <c r="L13">
        <v>11.375</v>
      </c>
      <c r="M13">
        <v>13195</v>
      </c>
      <c r="N13">
        <v>13195</v>
      </c>
      <c r="O13">
        <v>13195</v>
      </c>
      <c r="P13">
        <v>13195</v>
      </c>
      <c r="Q13">
        <v>1</v>
      </c>
      <c r="R13">
        <v>1</v>
      </c>
      <c r="S13">
        <v>0</v>
      </c>
      <c r="T13">
        <v>0</v>
      </c>
      <c r="U13">
        <v>13195</v>
      </c>
      <c r="V13" s="59">
        <v>45596</v>
      </c>
    </row>
    <row r="14" spans="1:22" x14ac:dyDescent="0.35">
      <c r="A14" t="s">
        <v>49</v>
      </c>
      <c r="B14" s="58">
        <v>45572.333333333336</v>
      </c>
      <c r="C14" s="58">
        <v>45582.708333333336</v>
      </c>
      <c r="D14" s="58">
        <v>45572.333333333336</v>
      </c>
      <c r="E14" s="58">
        <v>45582.708333333336</v>
      </c>
      <c r="F14" t="s">
        <v>50</v>
      </c>
      <c r="G14">
        <v>1</v>
      </c>
      <c r="H14">
        <v>135</v>
      </c>
      <c r="J14">
        <v>1</v>
      </c>
      <c r="K14">
        <v>10.375</v>
      </c>
      <c r="L14">
        <v>10.375</v>
      </c>
      <c r="M14">
        <v>11205</v>
      </c>
      <c r="N14">
        <v>11205</v>
      </c>
      <c r="O14">
        <v>11205</v>
      </c>
      <c r="P14">
        <v>11205</v>
      </c>
      <c r="Q14">
        <v>1</v>
      </c>
      <c r="R14">
        <v>1</v>
      </c>
      <c r="S14">
        <v>0</v>
      </c>
      <c r="T14">
        <v>0</v>
      </c>
      <c r="U14">
        <v>11205</v>
      </c>
      <c r="V14" s="59">
        <v>45596</v>
      </c>
    </row>
    <row r="15" spans="1:22" x14ac:dyDescent="0.35">
      <c r="A15" t="s">
        <v>52</v>
      </c>
      <c r="B15" s="58">
        <v>45583.333333333336</v>
      </c>
      <c r="C15" s="58">
        <v>45594.708333333336</v>
      </c>
      <c r="D15" s="58">
        <v>45583.333333333336</v>
      </c>
      <c r="E15" s="58">
        <v>45594.708333333336</v>
      </c>
      <c r="F15" t="s">
        <v>50</v>
      </c>
      <c r="G15">
        <v>1</v>
      </c>
      <c r="H15">
        <v>135</v>
      </c>
      <c r="J15">
        <v>1</v>
      </c>
      <c r="K15">
        <v>11.375</v>
      </c>
      <c r="L15">
        <v>11.375</v>
      </c>
      <c r="M15">
        <v>12285</v>
      </c>
      <c r="N15">
        <v>12285</v>
      </c>
      <c r="O15">
        <v>12285</v>
      </c>
      <c r="P15">
        <v>12285</v>
      </c>
      <c r="Q15">
        <v>1</v>
      </c>
      <c r="R15">
        <v>1</v>
      </c>
      <c r="S15">
        <v>0</v>
      </c>
      <c r="T15">
        <v>0</v>
      </c>
      <c r="U15">
        <v>12285</v>
      </c>
      <c r="V15" s="59">
        <v>45596</v>
      </c>
    </row>
    <row r="16" spans="1:22" x14ac:dyDescent="0.35">
      <c r="A16" t="s">
        <v>54</v>
      </c>
      <c r="B16" s="58">
        <v>45572.333333333336</v>
      </c>
      <c r="C16" s="58">
        <v>45581.708333333336</v>
      </c>
      <c r="D16" s="58">
        <v>45572.333333333336</v>
      </c>
      <c r="E16" s="58">
        <v>45581.708333333336</v>
      </c>
      <c r="F16" t="s">
        <v>55</v>
      </c>
      <c r="G16">
        <v>1</v>
      </c>
      <c r="H16">
        <v>85</v>
      </c>
      <c r="J16">
        <v>1</v>
      </c>
      <c r="K16">
        <v>9.375</v>
      </c>
      <c r="L16">
        <v>9.375</v>
      </c>
      <c r="M16">
        <v>6375</v>
      </c>
      <c r="N16">
        <v>6375</v>
      </c>
      <c r="O16">
        <v>6375</v>
      </c>
      <c r="P16">
        <v>6375</v>
      </c>
      <c r="Q16">
        <v>1</v>
      </c>
      <c r="R16">
        <v>1</v>
      </c>
      <c r="S16">
        <v>0</v>
      </c>
      <c r="T16">
        <v>0</v>
      </c>
      <c r="U16">
        <v>6375</v>
      </c>
      <c r="V16" s="59">
        <v>45596</v>
      </c>
    </row>
    <row r="17" spans="1:22" x14ac:dyDescent="0.35">
      <c r="A17" t="s">
        <v>111</v>
      </c>
      <c r="B17" s="58">
        <v>45572.333333333336</v>
      </c>
      <c r="C17" s="58">
        <v>45580.708333333336</v>
      </c>
      <c r="D17" s="58">
        <v>45572.333333333336</v>
      </c>
      <c r="E17" s="58">
        <v>45580.708333333336</v>
      </c>
      <c r="F17" t="s">
        <v>112</v>
      </c>
      <c r="G17">
        <v>1</v>
      </c>
      <c r="H17">
        <v>135</v>
      </c>
      <c r="J17">
        <v>1</v>
      </c>
      <c r="K17">
        <v>8.375</v>
      </c>
      <c r="L17">
        <v>8.375</v>
      </c>
      <c r="M17">
        <v>9045</v>
      </c>
      <c r="N17">
        <v>9045</v>
      </c>
      <c r="O17">
        <v>9045</v>
      </c>
      <c r="P17">
        <v>9045</v>
      </c>
      <c r="Q17">
        <v>1</v>
      </c>
      <c r="R17">
        <v>1</v>
      </c>
      <c r="S17">
        <v>0</v>
      </c>
      <c r="T17">
        <v>0</v>
      </c>
      <c r="U17">
        <v>9045</v>
      </c>
      <c r="V17" s="59">
        <v>45596</v>
      </c>
    </row>
    <row r="18" spans="1:22" x14ac:dyDescent="0.35">
      <c r="A18" t="s">
        <v>114</v>
      </c>
      <c r="B18" s="58">
        <v>45581.333333333336</v>
      </c>
      <c r="C18" s="58">
        <v>45587.708333333336</v>
      </c>
      <c r="D18" s="58">
        <v>45581.333333333336</v>
      </c>
      <c r="E18" s="58">
        <v>45587.708333333336</v>
      </c>
      <c r="F18" t="s">
        <v>112</v>
      </c>
      <c r="G18">
        <v>1</v>
      </c>
      <c r="H18">
        <v>135</v>
      </c>
      <c r="J18">
        <v>1</v>
      </c>
      <c r="K18">
        <v>6.375</v>
      </c>
      <c r="L18">
        <v>6.375</v>
      </c>
      <c r="M18">
        <v>6885</v>
      </c>
      <c r="N18">
        <v>6885</v>
      </c>
      <c r="O18">
        <v>6885</v>
      </c>
      <c r="P18">
        <v>6885</v>
      </c>
      <c r="Q18">
        <v>1</v>
      </c>
      <c r="R18">
        <v>1</v>
      </c>
      <c r="S18">
        <v>0</v>
      </c>
      <c r="T18">
        <v>0</v>
      </c>
      <c r="U18">
        <v>6885</v>
      </c>
      <c r="V18" s="59">
        <v>45596</v>
      </c>
    </row>
    <row r="19" spans="1:22" x14ac:dyDescent="0.35">
      <c r="A19" t="s">
        <v>159</v>
      </c>
      <c r="B19" s="58">
        <v>45572.333333333336</v>
      </c>
      <c r="C19" s="58">
        <v>45586.708333333336</v>
      </c>
      <c r="D19" s="58">
        <v>45572.333333333336</v>
      </c>
      <c r="E19" s="58">
        <v>45586.708333333336</v>
      </c>
      <c r="F19" t="s">
        <v>160</v>
      </c>
      <c r="G19">
        <v>1</v>
      </c>
      <c r="H19">
        <v>135</v>
      </c>
      <c r="J19">
        <v>1</v>
      </c>
      <c r="K19">
        <v>14.375</v>
      </c>
      <c r="L19">
        <v>14.375</v>
      </c>
      <c r="M19">
        <v>15525</v>
      </c>
      <c r="N19">
        <v>15525</v>
      </c>
      <c r="O19">
        <v>15525</v>
      </c>
      <c r="P19">
        <v>15525</v>
      </c>
      <c r="Q19">
        <v>1</v>
      </c>
      <c r="R19">
        <v>1</v>
      </c>
      <c r="S19">
        <v>0</v>
      </c>
      <c r="T19">
        <v>0</v>
      </c>
      <c r="U19">
        <v>15525</v>
      </c>
      <c r="V19" s="59">
        <v>45596</v>
      </c>
    </row>
    <row r="20" spans="1:22" x14ac:dyDescent="0.35">
      <c r="A20" t="s">
        <v>176</v>
      </c>
      <c r="B20" s="58">
        <v>45560.333333333336</v>
      </c>
      <c r="C20" s="58">
        <v>45572.708333333336</v>
      </c>
      <c r="D20" s="58">
        <v>45560.333333333336</v>
      </c>
      <c r="E20" s="58">
        <v>45572.708333333336</v>
      </c>
      <c r="F20" t="s">
        <v>177</v>
      </c>
      <c r="G20">
        <v>1</v>
      </c>
      <c r="H20">
        <v>115</v>
      </c>
      <c r="J20">
        <v>1</v>
      </c>
      <c r="K20">
        <v>12.375</v>
      </c>
      <c r="L20">
        <v>12.375</v>
      </c>
      <c r="M20">
        <v>11385</v>
      </c>
      <c r="N20">
        <v>11385</v>
      </c>
      <c r="O20">
        <v>11385</v>
      </c>
      <c r="P20">
        <v>11385</v>
      </c>
      <c r="Q20">
        <v>1</v>
      </c>
      <c r="R20">
        <v>1</v>
      </c>
      <c r="S20">
        <v>0</v>
      </c>
      <c r="T20">
        <v>0</v>
      </c>
      <c r="U20">
        <v>11385</v>
      </c>
      <c r="V20" s="59">
        <v>45596</v>
      </c>
    </row>
    <row r="21" spans="1:22" x14ac:dyDescent="0.35">
      <c r="A21" t="s">
        <v>63</v>
      </c>
      <c r="B21" s="58">
        <v>45583.333333333336</v>
      </c>
      <c r="C21" s="58">
        <v>45601.708333333336</v>
      </c>
      <c r="D21" s="58">
        <v>45583.333333333336</v>
      </c>
      <c r="E21" s="58">
        <v>45601.708333333336</v>
      </c>
      <c r="F21" t="s">
        <v>50</v>
      </c>
      <c r="G21">
        <v>1</v>
      </c>
      <c r="H21">
        <v>135</v>
      </c>
      <c r="J21">
        <v>1</v>
      </c>
      <c r="K21">
        <v>18.375</v>
      </c>
      <c r="L21">
        <v>18.375</v>
      </c>
      <c r="M21">
        <v>19845</v>
      </c>
      <c r="N21">
        <v>19845</v>
      </c>
      <c r="O21">
        <v>19845</v>
      </c>
      <c r="P21">
        <v>19845</v>
      </c>
      <c r="Q21">
        <v>1</v>
      </c>
      <c r="R21">
        <v>1</v>
      </c>
      <c r="S21">
        <v>0</v>
      </c>
      <c r="T21">
        <v>0</v>
      </c>
      <c r="U21">
        <v>19845</v>
      </c>
      <c r="V21" s="59">
        <v>45626</v>
      </c>
    </row>
    <row r="22" spans="1:22" x14ac:dyDescent="0.35">
      <c r="A22" t="s">
        <v>656</v>
      </c>
      <c r="B22" s="58">
        <v>45604.333333333336</v>
      </c>
      <c r="C22" s="58">
        <v>45617.708333333336</v>
      </c>
      <c r="D22" s="58">
        <v>45604.333333333336</v>
      </c>
      <c r="E22" s="58">
        <v>45617.708333333336</v>
      </c>
      <c r="F22" t="s">
        <v>50</v>
      </c>
      <c r="G22">
        <v>1</v>
      </c>
      <c r="H22">
        <v>135</v>
      </c>
      <c r="J22">
        <v>1</v>
      </c>
      <c r="K22">
        <v>13.375</v>
      </c>
      <c r="L22">
        <v>13.375</v>
      </c>
      <c r="M22">
        <v>14445</v>
      </c>
      <c r="N22">
        <v>14445</v>
      </c>
      <c r="O22">
        <v>14445</v>
      </c>
      <c r="P22">
        <v>14445</v>
      </c>
      <c r="Q22">
        <v>1</v>
      </c>
      <c r="R22">
        <v>1</v>
      </c>
      <c r="S22">
        <v>0</v>
      </c>
      <c r="T22">
        <v>0</v>
      </c>
      <c r="U22">
        <v>14445</v>
      </c>
      <c r="V22" s="59">
        <v>45626</v>
      </c>
    </row>
    <row r="23" spans="1:22" x14ac:dyDescent="0.35">
      <c r="A23" t="s">
        <v>116</v>
      </c>
      <c r="B23" s="58">
        <v>45588.333333333336</v>
      </c>
      <c r="C23" s="58">
        <v>45604.708333333336</v>
      </c>
      <c r="D23" s="58">
        <v>45588.333333333336</v>
      </c>
      <c r="E23" s="58">
        <v>45604.708333333336</v>
      </c>
      <c r="F23" t="s">
        <v>112</v>
      </c>
      <c r="G23">
        <v>1</v>
      </c>
      <c r="H23">
        <v>135</v>
      </c>
      <c r="J23">
        <v>1</v>
      </c>
      <c r="K23">
        <v>16.375</v>
      </c>
      <c r="L23">
        <v>16.375</v>
      </c>
      <c r="M23">
        <v>17685</v>
      </c>
      <c r="N23">
        <v>17685</v>
      </c>
      <c r="O23">
        <v>17685</v>
      </c>
      <c r="P23">
        <v>17685</v>
      </c>
      <c r="Q23">
        <v>1</v>
      </c>
      <c r="R23">
        <v>1</v>
      </c>
      <c r="S23">
        <v>0</v>
      </c>
      <c r="T23">
        <v>0</v>
      </c>
      <c r="U23">
        <v>17685</v>
      </c>
      <c r="V23" s="59">
        <v>45626</v>
      </c>
    </row>
    <row r="24" spans="1:22" x14ac:dyDescent="0.35">
      <c r="A24" t="s">
        <v>118</v>
      </c>
      <c r="B24" s="58">
        <v>45588.333333333336</v>
      </c>
      <c r="C24" s="58">
        <v>45615.708333333336</v>
      </c>
      <c r="D24" s="58">
        <v>45588.333333333336</v>
      </c>
      <c r="E24" s="58">
        <v>45615.708333333336</v>
      </c>
      <c r="F24" t="s">
        <v>112</v>
      </c>
      <c r="G24">
        <v>1</v>
      </c>
      <c r="H24">
        <v>135</v>
      </c>
      <c r="J24">
        <v>1</v>
      </c>
      <c r="K24">
        <v>27.375</v>
      </c>
      <c r="L24">
        <v>27.375</v>
      </c>
      <c r="M24">
        <v>29565</v>
      </c>
      <c r="N24">
        <v>29565</v>
      </c>
      <c r="O24">
        <v>29565</v>
      </c>
      <c r="P24">
        <v>29565</v>
      </c>
      <c r="Q24">
        <v>1</v>
      </c>
      <c r="R24">
        <v>1</v>
      </c>
      <c r="S24">
        <v>0</v>
      </c>
      <c r="T24">
        <v>0</v>
      </c>
      <c r="U24">
        <v>29565</v>
      </c>
      <c r="V24" s="59">
        <v>45626</v>
      </c>
    </row>
    <row r="25" spans="1:22" x14ac:dyDescent="0.35">
      <c r="A25" t="s">
        <v>137</v>
      </c>
      <c r="B25" s="58">
        <v>45607.333333333336</v>
      </c>
      <c r="C25" s="58">
        <v>45621.708333333336</v>
      </c>
      <c r="D25" s="58">
        <v>45607.333333333336</v>
      </c>
      <c r="E25" s="58">
        <v>45621.708333333336</v>
      </c>
      <c r="F25" t="s">
        <v>129</v>
      </c>
      <c r="G25">
        <v>1</v>
      </c>
      <c r="H25">
        <v>135</v>
      </c>
      <c r="J25">
        <v>1</v>
      </c>
      <c r="K25">
        <v>14.375</v>
      </c>
      <c r="L25">
        <v>14.375</v>
      </c>
      <c r="M25">
        <v>15525</v>
      </c>
      <c r="N25">
        <v>15525</v>
      </c>
      <c r="O25">
        <v>15525</v>
      </c>
      <c r="P25">
        <v>15525</v>
      </c>
      <c r="Q25">
        <v>1</v>
      </c>
      <c r="R25">
        <v>1</v>
      </c>
      <c r="S25">
        <v>0</v>
      </c>
      <c r="T25">
        <v>0</v>
      </c>
      <c r="U25">
        <v>15525</v>
      </c>
      <c r="V25" s="59">
        <v>45626</v>
      </c>
    </row>
    <row r="26" spans="1:22" x14ac:dyDescent="0.35">
      <c r="A26" t="s">
        <v>162</v>
      </c>
      <c r="B26" s="58">
        <v>45587.333333333336</v>
      </c>
      <c r="C26" s="58">
        <v>45608.708333333336</v>
      </c>
      <c r="D26" s="58">
        <v>45587.333333333336</v>
      </c>
      <c r="E26" s="58">
        <v>45608.708333333336</v>
      </c>
      <c r="F26" t="s">
        <v>160</v>
      </c>
      <c r="G26">
        <v>1</v>
      </c>
      <c r="H26">
        <v>135</v>
      </c>
      <c r="J26">
        <v>1</v>
      </c>
      <c r="K26">
        <v>21.375</v>
      </c>
      <c r="L26">
        <v>21.375</v>
      </c>
      <c r="M26">
        <v>23085</v>
      </c>
      <c r="N26">
        <v>23085</v>
      </c>
      <c r="O26">
        <v>23085</v>
      </c>
      <c r="P26">
        <v>23085</v>
      </c>
      <c r="Q26">
        <v>1</v>
      </c>
      <c r="R26">
        <v>1</v>
      </c>
      <c r="S26">
        <v>0</v>
      </c>
      <c r="T26">
        <v>0</v>
      </c>
      <c r="U26">
        <v>23085</v>
      </c>
      <c r="V26" s="59">
        <v>45626</v>
      </c>
    </row>
    <row r="27" spans="1:22" x14ac:dyDescent="0.35">
      <c r="A27" t="s">
        <v>168</v>
      </c>
      <c r="B27" s="58">
        <v>45587.333333333336</v>
      </c>
      <c r="C27" s="58">
        <v>45604.708333333336</v>
      </c>
      <c r="D27" s="58">
        <v>45587.333333333336</v>
      </c>
      <c r="E27" s="58">
        <v>45604.708333333336</v>
      </c>
      <c r="F27" t="s">
        <v>160</v>
      </c>
      <c r="G27">
        <v>1</v>
      </c>
      <c r="H27">
        <v>135</v>
      </c>
      <c r="J27">
        <v>1</v>
      </c>
      <c r="K27">
        <v>17.375</v>
      </c>
      <c r="L27">
        <v>17.375</v>
      </c>
      <c r="M27">
        <v>18765</v>
      </c>
      <c r="N27">
        <v>18765</v>
      </c>
      <c r="O27">
        <v>18765</v>
      </c>
      <c r="P27">
        <v>18765</v>
      </c>
      <c r="Q27">
        <v>1</v>
      </c>
      <c r="R27">
        <v>1</v>
      </c>
      <c r="S27">
        <v>0</v>
      </c>
      <c r="T27">
        <v>0</v>
      </c>
      <c r="U27">
        <v>18765</v>
      </c>
      <c r="V27" s="59">
        <v>45626</v>
      </c>
    </row>
    <row r="28" spans="1:22" x14ac:dyDescent="0.35">
      <c r="A28" t="s">
        <v>223</v>
      </c>
      <c r="B28" s="58">
        <v>45560.333333333336</v>
      </c>
      <c r="C28" s="58">
        <v>45604.708333333336</v>
      </c>
      <c r="D28" s="58">
        <v>45560.333333333336</v>
      </c>
      <c r="E28" s="58">
        <v>45604.708333333336</v>
      </c>
      <c r="F28" t="s">
        <v>224</v>
      </c>
      <c r="G28">
        <v>1</v>
      </c>
      <c r="H28" t="s">
        <v>5</v>
      </c>
      <c r="I28">
        <v>2500000</v>
      </c>
      <c r="J28">
        <v>1</v>
      </c>
      <c r="K28">
        <v>44.375</v>
      </c>
      <c r="L28">
        <v>44.375</v>
      </c>
      <c r="M28">
        <v>2500000</v>
      </c>
      <c r="N28">
        <v>2500000</v>
      </c>
      <c r="O28">
        <v>2500000</v>
      </c>
      <c r="P28">
        <v>2500000</v>
      </c>
      <c r="Q28">
        <v>1</v>
      </c>
      <c r="R28">
        <v>1</v>
      </c>
      <c r="S28">
        <v>0</v>
      </c>
      <c r="T28">
        <v>0</v>
      </c>
      <c r="U28">
        <v>2500000</v>
      </c>
      <c r="V28" s="59">
        <v>45626</v>
      </c>
    </row>
    <row r="29" spans="1:22" x14ac:dyDescent="0.35">
      <c r="A29" t="s">
        <v>226</v>
      </c>
      <c r="B29" s="58">
        <v>45607.333333333336</v>
      </c>
      <c r="C29" s="58">
        <v>45608.708333333336</v>
      </c>
      <c r="D29" s="58">
        <v>45730.333333333336</v>
      </c>
      <c r="E29" s="58">
        <v>45733.708333333336</v>
      </c>
      <c r="F29" t="s">
        <v>213</v>
      </c>
      <c r="G29">
        <v>1</v>
      </c>
      <c r="H29">
        <v>85</v>
      </c>
      <c r="J29">
        <v>1</v>
      </c>
      <c r="K29">
        <v>1.375</v>
      </c>
      <c r="L29">
        <v>3.375</v>
      </c>
      <c r="M29">
        <v>935</v>
      </c>
      <c r="N29">
        <v>2295</v>
      </c>
      <c r="O29">
        <v>935</v>
      </c>
      <c r="P29">
        <v>935</v>
      </c>
      <c r="Q29">
        <v>0.40740740740740738</v>
      </c>
      <c r="R29">
        <v>1</v>
      </c>
      <c r="S29">
        <v>-1360</v>
      </c>
      <c r="T29">
        <v>0</v>
      </c>
      <c r="U29">
        <v>2295</v>
      </c>
      <c r="V29" s="59">
        <v>45626</v>
      </c>
    </row>
    <row r="30" spans="1:22" x14ac:dyDescent="0.35">
      <c r="A30" t="s">
        <v>665</v>
      </c>
      <c r="B30" s="58">
        <v>45607.333333333336</v>
      </c>
      <c r="C30" s="58">
        <v>45623.708333333336</v>
      </c>
      <c r="D30" s="58">
        <v>45607.333333333336</v>
      </c>
      <c r="E30" s="58">
        <v>45623.708333333336</v>
      </c>
      <c r="F30" t="s">
        <v>194</v>
      </c>
      <c r="G30">
        <v>1</v>
      </c>
      <c r="H30">
        <v>120</v>
      </c>
      <c r="J30">
        <v>1</v>
      </c>
      <c r="K30">
        <v>16.375</v>
      </c>
      <c r="L30">
        <v>16.375</v>
      </c>
      <c r="M30">
        <v>15720</v>
      </c>
      <c r="N30">
        <v>15720</v>
      </c>
      <c r="O30">
        <v>15720</v>
      </c>
      <c r="P30">
        <v>15720</v>
      </c>
      <c r="Q30">
        <v>1</v>
      </c>
      <c r="R30">
        <v>1</v>
      </c>
      <c r="S30">
        <v>0</v>
      </c>
      <c r="T30">
        <v>0</v>
      </c>
      <c r="U30">
        <v>15720</v>
      </c>
      <c r="V30" s="59">
        <v>45626</v>
      </c>
    </row>
    <row r="31" spans="1:22" x14ac:dyDescent="0.35">
      <c r="A31" t="s">
        <v>242</v>
      </c>
      <c r="B31" s="58">
        <v>45624.333333333336</v>
      </c>
      <c r="C31" t="s">
        <v>5</v>
      </c>
      <c r="D31" s="58">
        <v>45624.333333333336</v>
      </c>
      <c r="E31" t="s">
        <v>5</v>
      </c>
      <c r="F31" t="s">
        <v>5</v>
      </c>
      <c r="G31">
        <v>1</v>
      </c>
      <c r="H31" t="s">
        <v>5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</v>
      </c>
      <c r="R31" t="s">
        <v>5</v>
      </c>
      <c r="S31">
        <v>0</v>
      </c>
      <c r="T31">
        <v>0</v>
      </c>
      <c r="U31">
        <v>0</v>
      </c>
      <c r="V31" s="59">
        <v>45626</v>
      </c>
    </row>
    <row r="32" spans="1:22" x14ac:dyDescent="0.35">
      <c r="A32" t="s">
        <v>67</v>
      </c>
      <c r="B32" s="58">
        <v>45616.333333333336</v>
      </c>
      <c r="C32" s="58">
        <v>45652.708333333336</v>
      </c>
      <c r="D32" s="58">
        <v>45616.333333333336</v>
      </c>
      <c r="E32" s="58">
        <v>45652.708333333336</v>
      </c>
      <c r="F32" t="s">
        <v>50</v>
      </c>
      <c r="G32">
        <v>1</v>
      </c>
      <c r="H32">
        <v>135</v>
      </c>
      <c r="J32">
        <v>1</v>
      </c>
      <c r="K32">
        <v>36.375</v>
      </c>
      <c r="L32">
        <v>36.375</v>
      </c>
      <c r="M32">
        <v>39285</v>
      </c>
      <c r="N32">
        <v>39285</v>
      </c>
      <c r="O32">
        <v>39285</v>
      </c>
      <c r="P32">
        <v>39285</v>
      </c>
      <c r="Q32">
        <v>1</v>
      </c>
      <c r="R32">
        <v>1</v>
      </c>
      <c r="S32">
        <v>0</v>
      </c>
      <c r="T32">
        <v>0</v>
      </c>
      <c r="U32">
        <v>39285</v>
      </c>
      <c r="V32" s="59">
        <v>45657</v>
      </c>
    </row>
    <row r="33" spans="1:22" x14ac:dyDescent="0.35">
      <c r="A33" t="s">
        <v>76</v>
      </c>
      <c r="B33" s="58">
        <v>45653.333333333336</v>
      </c>
      <c r="C33" s="58">
        <v>45657.708333333336</v>
      </c>
      <c r="D33" s="58">
        <v>45653.333333333336</v>
      </c>
      <c r="E33" s="58">
        <v>45657.708333333336</v>
      </c>
      <c r="F33" t="s">
        <v>50</v>
      </c>
      <c r="G33">
        <v>1</v>
      </c>
      <c r="H33">
        <v>135</v>
      </c>
      <c r="J33">
        <v>1</v>
      </c>
      <c r="K33">
        <v>4.375</v>
      </c>
      <c r="L33">
        <v>4.375</v>
      </c>
      <c r="M33">
        <v>4725</v>
      </c>
      <c r="N33">
        <v>4725</v>
      </c>
      <c r="O33">
        <v>4725</v>
      </c>
      <c r="P33">
        <v>4725</v>
      </c>
      <c r="Q33">
        <v>1</v>
      </c>
      <c r="R33">
        <v>1</v>
      </c>
      <c r="S33">
        <v>0</v>
      </c>
      <c r="T33">
        <v>0</v>
      </c>
      <c r="U33">
        <v>4725</v>
      </c>
      <c r="V33" s="59">
        <v>45657</v>
      </c>
    </row>
    <row r="34" spans="1:22" x14ac:dyDescent="0.35">
      <c r="A34" t="s">
        <v>120</v>
      </c>
      <c r="B34" s="58">
        <v>45616.333333333336</v>
      </c>
      <c r="C34" s="58">
        <v>45638.708333333336</v>
      </c>
      <c r="D34" s="58">
        <v>45616.333333333336</v>
      </c>
      <c r="E34" s="58">
        <v>45638.708333333336</v>
      </c>
      <c r="F34" t="s">
        <v>112</v>
      </c>
      <c r="G34">
        <v>1</v>
      </c>
      <c r="H34">
        <v>135</v>
      </c>
      <c r="J34">
        <v>1</v>
      </c>
      <c r="K34">
        <v>22.375</v>
      </c>
      <c r="L34">
        <v>22.375</v>
      </c>
      <c r="M34">
        <v>24165</v>
      </c>
      <c r="N34">
        <v>24165</v>
      </c>
      <c r="O34">
        <v>24165</v>
      </c>
      <c r="P34">
        <v>24165</v>
      </c>
      <c r="Q34">
        <v>1</v>
      </c>
      <c r="R34">
        <v>1</v>
      </c>
      <c r="S34">
        <v>0</v>
      </c>
      <c r="T34">
        <v>0</v>
      </c>
      <c r="U34">
        <v>24165</v>
      </c>
      <c r="V34" s="59">
        <v>45657</v>
      </c>
    </row>
    <row r="35" spans="1:22" x14ac:dyDescent="0.35">
      <c r="A35" t="s">
        <v>124</v>
      </c>
      <c r="B35" s="58">
        <v>45639.333333333336</v>
      </c>
      <c r="C35" s="58">
        <v>45652.708333333336</v>
      </c>
      <c r="D35" s="58">
        <v>45639.333333333336</v>
      </c>
      <c r="E35" s="58">
        <v>45652.708333333336</v>
      </c>
      <c r="F35" t="s">
        <v>112</v>
      </c>
      <c r="G35">
        <v>1</v>
      </c>
      <c r="H35">
        <v>135</v>
      </c>
      <c r="J35">
        <v>1</v>
      </c>
      <c r="K35">
        <v>13.375</v>
      </c>
      <c r="L35">
        <v>13.375</v>
      </c>
      <c r="M35">
        <v>14445</v>
      </c>
      <c r="N35">
        <v>14445</v>
      </c>
      <c r="O35">
        <v>14445</v>
      </c>
      <c r="P35">
        <v>14445</v>
      </c>
      <c r="Q35">
        <v>1</v>
      </c>
      <c r="R35">
        <v>1</v>
      </c>
      <c r="S35">
        <v>0</v>
      </c>
      <c r="T35">
        <v>0</v>
      </c>
      <c r="U35">
        <v>14445</v>
      </c>
      <c r="V35" s="59">
        <v>45657</v>
      </c>
    </row>
    <row r="36" spans="1:22" x14ac:dyDescent="0.35">
      <c r="A36" t="s">
        <v>164</v>
      </c>
      <c r="B36" s="58">
        <v>45609.333333333336</v>
      </c>
      <c r="C36" s="58">
        <v>45637.708333333336</v>
      </c>
      <c r="D36" s="58">
        <v>45609.333333333336</v>
      </c>
      <c r="E36" s="58">
        <v>45637.708333333336</v>
      </c>
      <c r="F36" t="s">
        <v>160</v>
      </c>
      <c r="G36">
        <v>1</v>
      </c>
      <c r="H36">
        <v>135</v>
      </c>
      <c r="J36">
        <v>1</v>
      </c>
      <c r="K36">
        <v>28.375</v>
      </c>
      <c r="L36">
        <v>28.375</v>
      </c>
      <c r="M36">
        <v>30645</v>
      </c>
      <c r="N36">
        <v>30645</v>
      </c>
      <c r="O36">
        <v>30645</v>
      </c>
      <c r="P36">
        <v>30645</v>
      </c>
      <c r="Q36">
        <v>1</v>
      </c>
      <c r="R36">
        <v>1</v>
      </c>
      <c r="S36">
        <v>0</v>
      </c>
      <c r="T36">
        <v>0</v>
      </c>
      <c r="U36">
        <v>30645</v>
      </c>
      <c r="V36" s="59">
        <v>45657</v>
      </c>
    </row>
    <row r="37" spans="1:22" x14ac:dyDescent="0.35">
      <c r="A37" t="s">
        <v>166</v>
      </c>
      <c r="B37" s="58">
        <v>45609.333333333336</v>
      </c>
      <c r="C37" s="58">
        <v>45631.708333333336</v>
      </c>
      <c r="D37" s="58">
        <v>45609.333333333336</v>
      </c>
      <c r="E37" s="58">
        <v>45631.708333333336</v>
      </c>
      <c r="F37" t="s">
        <v>160</v>
      </c>
      <c r="G37">
        <v>1</v>
      </c>
      <c r="H37">
        <v>135</v>
      </c>
      <c r="J37">
        <v>1</v>
      </c>
      <c r="K37">
        <v>22.375</v>
      </c>
      <c r="L37">
        <v>22.375</v>
      </c>
      <c r="M37">
        <v>24165</v>
      </c>
      <c r="N37">
        <v>24165</v>
      </c>
      <c r="O37">
        <v>24165</v>
      </c>
      <c r="P37">
        <v>24165</v>
      </c>
      <c r="Q37">
        <v>1</v>
      </c>
      <c r="R37">
        <v>1</v>
      </c>
      <c r="S37">
        <v>0</v>
      </c>
      <c r="T37">
        <v>0</v>
      </c>
      <c r="U37">
        <v>24165</v>
      </c>
      <c r="V37" s="59">
        <v>45657</v>
      </c>
    </row>
    <row r="38" spans="1:22" x14ac:dyDescent="0.35">
      <c r="A38" t="s">
        <v>181</v>
      </c>
      <c r="B38" s="58">
        <v>45609.333333333336</v>
      </c>
      <c r="C38" s="58">
        <v>45630.708333333336</v>
      </c>
      <c r="D38" s="58">
        <v>45609.333333333336</v>
      </c>
      <c r="E38" s="58">
        <v>45630.708333333336</v>
      </c>
      <c r="F38" t="s">
        <v>182</v>
      </c>
      <c r="G38">
        <v>1</v>
      </c>
      <c r="H38">
        <v>105</v>
      </c>
      <c r="J38">
        <v>1</v>
      </c>
      <c r="K38">
        <v>21.375</v>
      </c>
      <c r="L38">
        <v>21.375</v>
      </c>
      <c r="M38">
        <v>17955</v>
      </c>
      <c r="N38">
        <v>17955</v>
      </c>
      <c r="O38">
        <v>17955</v>
      </c>
      <c r="P38">
        <v>17955</v>
      </c>
      <c r="Q38">
        <v>1</v>
      </c>
      <c r="R38">
        <v>1</v>
      </c>
      <c r="S38">
        <v>0</v>
      </c>
      <c r="T38">
        <v>0</v>
      </c>
      <c r="U38">
        <v>17955</v>
      </c>
      <c r="V38" s="59">
        <v>45657</v>
      </c>
    </row>
    <row r="39" spans="1:22" x14ac:dyDescent="0.35">
      <c r="A39" t="s">
        <v>662</v>
      </c>
      <c r="B39" s="58">
        <v>45639.333333333336</v>
      </c>
      <c r="C39" s="58">
        <v>45646.708333333336</v>
      </c>
      <c r="D39" s="58">
        <v>45639.333333333336</v>
      </c>
      <c r="E39" s="58">
        <v>45646.708333333336</v>
      </c>
      <c r="F39" t="s">
        <v>194</v>
      </c>
      <c r="G39">
        <v>1</v>
      </c>
      <c r="H39">
        <v>120</v>
      </c>
      <c r="J39">
        <v>1</v>
      </c>
      <c r="K39">
        <v>7.375</v>
      </c>
      <c r="L39">
        <v>7.375</v>
      </c>
      <c r="M39">
        <v>7080</v>
      </c>
      <c r="N39">
        <v>7080</v>
      </c>
      <c r="O39">
        <v>7080</v>
      </c>
      <c r="P39">
        <v>7080</v>
      </c>
      <c r="Q39">
        <v>1</v>
      </c>
      <c r="R39">
        <v>1</v>
      </c>
      <c r="S39">
        <v>0</v>
      </c>
      <c r="T39">
        <v>0</v>
      </c>
      <c r="U39">
        <v>7080</v>
      </c>
      <c r="V39" s="59">
        <v>45657</v>
      </c>
    </row>
    <row r="40" spans="1:22" x14ac:dyDescent="0.35">
      <c r="A40" t="s">
        <v>219</v>
      </c>
      <c r="B40" s="58">
        <v>45649.333333333336</v>
      </c>
      <c r="C40" t="s">
        <v>5</v>
      </c>
      <c r="D40" s="58">
        <v>45649.333333333336</v>
      </c>
      <c r="E40" t="s">
        <v>5</v>
      </c>
      <c r="F40" t="s">
        <v>5</v>
      </c>
      <c r="G40">
        <v>1</v>
      </c>
      <c r="H40" t="s">
        <v>5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5</v>
      </c>
      <c r="R40" t="s">
        <v>5</v>
      </c>
      <c r="S40">
        <v>0</v>
      </c>
      <c r="T40">
        <v>0</v>
      </c>
      <c r="U40">
        <v>0</v>
      </c>
      <c r="V40" s="59">
        <v>45657</v>
      </c>
    </row>
    <row r="41" spans="1:22" x14ac:dyDescent="0.35">
      <c r="A41" t="s">
        <v>472</v>
      </c>
      <c r="B41" s="58">
        <v>45624.333333333336</v>
      </c>
      <c r="C41" s="58">
        <v>45652.708333333336</v>
      </c>
      <c r="D41" s="58">
        <v>45624.333333333336</v>
      </c>
      <c r="E41" s="58">
        <v>45652.708333333336</v>
      </c>
      <c r="F41" t="s">
        <v>160</v>
      </c>
      <c r="G41">
        <v>1</v>
      </c>
      <c r="H41">
        <v>135</v>
      </c>
      <c r="J41">
        <v>1</v>
      </c>
      <c r="K41">
        <v>28.375</v>
      </c>
      <c r="L41">
        <v>28.375</v>
      </c>
      <c r="M41">
        <v>30645</v>
      </c>
      <c r="N41">
        <v>30645</v>
      </c>
      <c r="O41">
        <v>30645</v>
      </c>
      <c r="P41">
        <v>30645</v>
      </c>
      <c r="Q41">
        <v>1</v>
      </c>
      <c r="R41">
        <v>1</v>
      </c>
      <c r="S41">
        <v>0</v>
      </c>
      <c r="T41">
        <v>0</v>
      </c>
      <c r="U41">
        <v>30645</v>
      </c>
      <c r="V41" s="59">
        <v>45657</v>
      </c>
    </row>
    <row r="42" spans="1:22" x14ac:dyDescent="0.35">
      <c r="A42" t="s">
        <v>249</v>
      </c>
      <c r="B42" s="58">
        <v>45624.333333333336</v>
      </c>
      <c r="C42" s="58">
        <v>45646.708333333336</v>
      </c>
      <c r="D42" s="58">
        <v>45624.333333333336</v>
      </c>
      <c r="E42" s="58">
        <v>45646.708333333336</v>
      </c>
      <c r="F42" t="s">
        <v>213</v>
      </c>
      <c r="G42">
        <v>1</v>
      </c>
      <c r="H42">
        <v>85</v>
      </c>
      <c r="J42">
        <v>1</v>
      </c>
      <c r="K42">
        <v>22.375</v>
      </c>
      <c r="L42">
        <v>22.375</v>
      </c>
      <c r="M42">
        <v>15215</v>
      </c>
      <c r="N42">
        <v>15215</v>
      </c>
      <c r="O42">
        <v>15215</v>
      </c>
      <c r="P42">
        <v>15215</v>
      </c>
      <c r="Q42">
        <v>1</v>
      </c>
      <c r="R42">
        <v>1</v>
      </c>
      <c r="S42">
        <v>0</v>
      </c>
      <c r="T42">
        <v>0</v>
      </c>
      <c r="U42">
        <v>15215</v>
      </c>
      <c r="V42" s="59">
        <v>45657</v>
      </c>
    </row>
    <row r="43" spans="1:22" x14ac:dyDescent="0.35">
      <c r="A43" t="s">
        <v>69</v>
      </c>
      <c r="B43" s="58">
        <v>45656.333333333336</v>
      </c>
      <c r="C43" s="58">
        <v>45667.708333333336</v>
      </c>
      <c r="D43" s="58">
        <v>45656.333333333336</v>
      </c>
      <c r="E43" s="58">
        <v>45667.708333333336</v>
      </c>
      <c r="F43" t="s">
        <v>70</v>
      </c>
      <c r="G43">
        <v>1</v>
      </c>
      <c r="H43">
        <v>135</v>
      </c>
      <c r="J43">
        <v>1</v>
      </c>
      <c r="K43">
        <v>11.375</v>
      </c>
      <c r="L43">
        <v>11.375</v>
      </c>
      <c r="M43">
        <v>12285</v>
      </c>
      <c r="N43">
        <v>12285</v>
      </c>
      <c r="O43">
        <v>12285</v>
      </c>
      <c r="P43">
        <v>12285</v>
      </c>
      <c r="Q43">
        <v>1</v>
      </c>
      <c r="R43">
        <v>1</v>
      </c>
      <c r="S43">
        <v>0</v>
      </c>
      <c r="T43">
        <v>0</v>
      </c>
      <c r="U43">
        <v>12285</v>
      </c>
      <c r="V43" s="59">
        <v>45688</v>
      </c>
    </row>
    <row r="44" spans="1:22" x14ac:dyDescent="0.35">
      <c r="A44" t="s">
        <v>72</v>
      </c>
      <c r="B44" s="58">
        <v>45653.333333333336</v>
      </c>
      <c r="C44" s="58">
        <v>45659.708333333336</v>
      </c>
      <c r="D44" s="58">
        <v>45653.333333333336</v>
      </c>
      <c r="E44" s="58">
        <v>45659.708333333336</v>
      </c>
      <c r="F44" t="s">
        <v>50</v>
      </c>
      <c r="G44">
        <v>1</v>
      </c>
      <c r="H44">
        <v>135</v>
      </c>
      <c r="J44">
        <v>1</v>
      </c>
      <c r="K44">
        <v>6.375</v>
      </c>
      <c r="L44">
        <v>6.375</v>
      </c>
      <c r="M44">
        <v>6885</v>
      </c>
      <c r="N44">
        <v>6885</v>
      </c>
      <c r="O44">
        <v>6885</v>
      </c>
      <c r="P44">
        <v>6885</v>
      </c>
      <c r="Q44">
        <v>1</v>
      </c>
      <c r="R44">
        <v>1</v>
      </c>
      <c r="S44">
        <v>0</v>
      </c>
      <c r="T44">
        <v>0</v>
      </c>
      <c r="U44">
        <v>6885</v>
      </c>
      <c r="V44" s="59">
        <v>45688</v>
      </c>
    </row>
    <row r="45" spans="1:22" x14ac:dyDescent="0.35">
      <c r="A45" t="s">
        <v>657</v>
      </c>
      <c r="B45" s="58">
        <v>45667.333333333336</v>
      </c>
      <c r="C45" s="58">
        <v>45684.708333333336</v>
      </c>
      <c r="D45" s="58">
        <v>45667.333333333336</v>
      </c>
      <c r="E45" s="58">
        <v>45684.708333333336</v>
      </c>
      <c r="F45" t="s">
        <v>70</v>
      </c>
      <c r="G45">
        <v>1</v>
      </c>
      <c r="H45">
        <v>135</v>
      </c>
      <c r="J45">
        <v>1</v>
      </c>
      <c r="K45">
        <v>17.375</v>
      </c>
      <c r="L45">
        <v>17.375</v>
      </c>
      <c r="M45">
        <v>18765</v>
      </c>
      <c r="N45">
        <v>18765</v>
      </c>
      <c r="O45">
        <v>18765</v>
      </c>
      <c r="P45">
        <v>18765</v>
      </c>
      <c r="Q45">
        <v>1</v>
      </c>
      <c r="R45">
        <v>1</v>
      </c>
      <c r="S45">
        <v>0</v>
      </c>
      <c r="T45">
        <v>0</v>
      </c>
      <c r="U45">
        <v>18765</v>
      </c>
      <c r="V45" s="59">
        <v>45688</v>
      </c>
    </row>
    <row r="46" spans="1:22" x14ac:dyDescent="0.35">
      <c r="A46" t="s">
        <v>78</v>
      </c>
      <c r="B46" s="58">
        <v>45657.333333333336</v>
      </c>
      <c r="C46" s="58">
        <v>45666.708333333336</v>
      </c>
      <c r="D46" s="58">
        <v>45657.333333333336</v>
      </c>
      <c r="E46" s="58">
        <v>45666.708333333336</v>
      </c>
      <c r="F46" t="s">
        <v>50</v>
      </c>
      <c r="G46">
        <v>1</v>
      </c>
      <c r="H46">
        <v>135</v>
      </c>
      <c r="J46">
        <v>1</v>
      </c>
      <c r="K46">
        <v>9.375</v>
      </c>
      <c r="L46">
        <v>9.375</v>
      </c>
      <c r="M46">
        <v>10125</v>
      </c>
      <c r="N46">
        <v>10125</v>
      </c>
      <c r="O46">
        <v>10125</v>
      </c>
      <c r="P46">
        <v>10125</v>
      </c>
      <c r="Q46">
        <v>1</v>
      </c>
      <c r="R46">
        <v>1</v>
      </c>
      <c r="S46">
        <v>0</v>
      </c>
      <c r="T46">
        <v>0</v>
      </c>
      <c r="U46">
        <v>10125</v>
      </c>
      <c r="V46" s="59">
        <v>45688</v>
      </c>
    </row>
    <row r="47" spans="1:22" x14ac:dyDescent="0.35">
      <c r="A47" t="s">
        <v>80</v>
      </c>
      <c r="B47" s="58">
        <v>45667.333333333336</v>
      </c>
      <c r="C47" s="58">
        <v>45685.708333333336</v>
      </c>
      <c r="D47" s="58">
        <v>45667.333333333336</v>
      </c>
      <c r="E47" s="58">
        <v>45685.708333333336</v>
      </c>
      <c r="F47" t="s">
        <v>50</v>
      </c>
      <c r="G47">
        <v>1</v>
      </c>
      <c r="H47">
        <v>135</v>
      </c>
      <c r="J47">
        <v>1</v>
      </c>
      <c r="K47">
        <v>18.375</v>
      </c>
      <c r="L47">
        <v>18.375</v>
      </c>
      <c r="M47">
        <v>19845</v>
      </c>
      <c r="N47">
        <v>19845</v>
      </c>
      <c r="O47">
        <v>19845</v>
      </c>
      <c r="P47">
        <v>19845</v>
      </c>
      <c r="Q47">
        <v>1</v>
      </c>
      <c r="R47">
        <v>1</v>
      </c>
      <c r="S47">
        <v>0</v>
      </c>
      <c r="T47">
        <v>0</v>
      </c>
      <c r="U47">
        <v>19845</v>
      </c>
      <c r="V47" s="59">
        <v>45688</v>
      </c>
    </row>
    <row r="48" spans="1:22" x14ac:dyDescent="0.35">
      <c r="A48" t="s">
        <v>82</v>
      </c>
      <c r="B48" s="58">
        <v>45653.333333333336</v>
      </c>
      <c r="C48" s="58">
        <v>45671.708333333336</v>
      </c>
      <c r="D48" s="58">
        <v>45653.333333333336</v>
      </c>
      <c r="E48" s="58">
        <v>45671.708333333336</v>
      </c>
      <c r="F48" t="s">
        <v>83</v>
      </c>
      <c r="G48">
        <v>1</v>
      </c>
      <c r="H48">
        <v>135</v>
      </c>
      <c r="J48">
        <v>1</v>
      </c>
      <c r="K48">
        <v>18.375</v>
      </c>
      <c r="L48">
        <v>18.375</v>
      </c>
      <c r="M48">
        <v>19845</v>
      </c>
      <c r="N48">
        <v>19845</v>
      </c>
      <c r="O48">
        <v>19845</v>
      </c>
      <c r="P48">
        <v>19845</v>
      </c>
      <c r="Q48">
        <v>1</v>
      </c>
      <c r="R48">
        <v>1</v>
      </c>
      <c r="S48">
        <v>0</v>
      </c>
      <c r="T48">
        <v>0</v>
      </c>
      <c r="U48">
        <v>19845</v>
      </c>
      <c r="V48" s="59">
        <v>45688</v>
      </c>
    </row>
    <row r="49" spans="1:22" x14ac:dyDescent="0.35">
      <c r="A49" t="s">
        <v>85</v>
      </c>
      <c r="B49" s="58">
        <v>45672.333333333336</v>
      </c>
      <c r="C49" s="58">
        <v>45686.708333333336</v>
      </c>
      <c r="D49" s="58">
        <v>45672.333333333336</v>
      </c>
      <c r="E49" s="58">
        <v>45686.708333333336</v>
      </c>
      <c r="F49" t="s">
        <v>83</v>
      </c>
      <c r="G49">
        <v>1</v>
      </c>
      <c r="H49">
        <v>135</v>
      </c>
      <c r="J49">
        <v>1</v>
      </c>
      <c r="K49">
        <v>14.375</v>
      </c>
      <c r="L49">
        <v>14.375</v>
      </c>
      <c r="M49">
        <v>15525</v>
      </c>
      <c r="N49">
        <v>15525</v>
      </c>
      <c r="O49">
        <v>15525</v>
      </c>
      <c r="P49">
        <v>15525</v>
      </c>
      <c r="Q49">
        <v>1</v>
      </c>
      <c r="R49">
        <v>1</v>
      </c>
      <c r="S49">
        <v>0</v>
      </c>
      <c r="T49">
        <v>0</v>
      </c>
      <c r="U49">
        <v>15525</v>
      </c>
      <c r="V49" s="59">
        <v>45688</v>
      </c>
    </row>
    <row r="50" spans="1:22" x14ac:dyDescent="0.35">
      <c r="A50" t="s">
        <v>87</v>
      </c>
      <c r="B50" s="58">
        <v>45672.333333333336</v>
      </c>
      <c r="C50" s="58">
        <v>45686.708333333336</v>
      </c>
      <c r="D50" s="58">
        <v>45672.333333333336</v>
      </c>
      <c r="E50" s="58">
        <v>45686.708333333336</v>
      </c>
      <c r="F50" t="s">
        <v>83</v>
      </c>
      <c r="G50">
        <v>1</v>
      </c>
      <c r="H50">
        <v>135</v>
      </c>
      <c r="J50">
        <v>1</v>
      </c>
      <c r="K50">
        <v>14.375</v>
      </c>
      <c r="L50">
        <v>14.375</v>
      </c>
      <c r="M50">
        <v>15525</v>
      </c>
      <c r="N50">
        <v>15525</v>
      </c>
      <c r="O50">
        <v>15525</v>
      </c>
      <c r="P50">
        <v>15525</v>
      </c>
      <c r="Q50">
        <v>1</v>
      </c>
      <c r="R50">
        <v>1</v>
      </c>
      <c r="S50">
        <v>0</v>
      </c>
      <c r="T50">
        <v>0</v>
      </c>
      <c r="U50">
        <v>15525</v>
      </c>
      <c r="V50" s="59">
        <v>45688</v>
      </c>
    </row>
    <row r="51" spans="1:22" x14ac:dyDescent="0.35">
      <c r="A51" t="s">
        <v>89</v>
      </c>
      <c r="B51" s="58">
        <v>45672.333333333336</v>
      </c>
      <c r="C51" s="58">
        <v>45685.708333333336</v>
      </c>
      <c r="D51" s="58">
        <v>45672.333333333336</v>
      </c>
      <c r="E51" s="58">
        <v>45685.708333333336</v>
      </c>
      <c r="F51" t="s">
        <v>83</v>
      </c>
      <c r="G51">
        <v>1</v>
      </c>
      <c r="H51">
        <v>135</v>
      </c>
      <c r="J51">
        <v>1</v>
      </c>
      <c r="K51">
        <v>13.375</v>
      </c>
      <c r="L51">
        <v>13.375</v>
      </c>
      <c r="M51">
        <v>14445</v>
      </c>
      <c r="N51">
        <v>14445</v>
      </c>
      <c r="O51">
        <v>14445</v>
      </c>
      <c r="P51">
        <v>14445</v>
      </c>
      <c r="Q51">
        <v>1</v>
      </c>
      <c r="R51">
        <v>1</v>
      </c>
      <c r="S51">
        <v>0</v>
      </c>
      <c r="T51">
        <v>0</v>
      </c>
      <c r="U51">
        <v>14445</v>
      </c>
      <c r="V51" s="59">
        <v>45688</v>
      </c>
    </row>
    <row r="52" spans="1:22" x14ac:dyDescent="0.35">
      <c r="A52" t="s">
        <v>91</v>
      </c>
      <c r="B52" s="58">
        <v>45672.333333333336</v>
      </c>
      <c r="C52" s="58">
        <v>45685.708333333336</v>
      </c>
      <c r="D52" s="58">
        <v>45672.333333333336</v>
      </c>
      <c r="E52" s="58">
        <v>45685.708333333336</v>
      </c>
      <c r="F52" t="s">
        <v>83</v>
      </c>
      <c r="G52">
        <v>1</v>
      </c>
      <c r="H52">
        <v>135</v>
      </c>
      <c r="J52">
        <v>1</v>
      </c>
      <c r="K52">
        <v>13.375</v>
      </c>
      <c r="L52">
        <v>13.375</v>
      </c>
      <c r="M52">
        <v>14445</v>
      </c>
      <c r="N52">
        <v>14445</v>
      </c>
      <c r="O52">
        <v>14445</v>
      </c>
      <c r="P52">
        <v>14445</v>
      </c>
      <c r="Q52">
        <v>1</v>
      </c>
      <c r="R52">
        <v>1</v>
      </c>
      <c r="S52">
        <v>0</v>
      </c>
      <c r="T52">
        <v>0</v>
      </c>
      <c r="U52">
        <v>14445</v>
      </c>
      <c r="V52" s="59">
        <v>45688</v>
      </c>
    </row>
    <row r="53" spans="1:22" x14ac:dyDescent="0.35">
      <c r="A53" t="s">
        <v>93</v>
      </c>
      <c r="B53" s="58">
        <v>45679.333333333336</v>
      </c>
      <c r="C53" s="58">
        <v>45686.708333333336</v>
      </c>
      <c r="D53" s="58">
        <v>45679.333333333336</v>
      </c>
      <c r="E53" s="58">
        <v>45686.708333333336</v>
      </c>
      <c r="F53" t="s">
        <v>83</v>
      </c>
      <c r="G53">
        <v>1</v>
      </c>
      <c r="H53">
        <v>135</v>
      </c>
      <c r="J53">
        <v>1</v>
      </c>
      <c r="K53">
        <v>7.375</v>
      </c>
      <c r="L53">
        <v>7.375</v>
      </c>
      <c r="M53">
        <v>7965</v>
      </c>
      <c r="N53">
        <v>7965</v>
      </c>
      <c r="O53">
        <v>7965</v>
      </c>
      <c r="P53">
        <v>7965</v>
      </c>
      <c r="Q53">
        <v>1</v>
      </c>
      <c r="R53">
        <v>1</v>
      </c>
      <c r="S53">
        <v>0</v>
      </c>
      <c r="T53">
        <v>0</v>
      </c>
      <c r="U53">
        <v>7965</v>
      </c>
      <c r="V53" s="59">
        <v>45688</v>
      </c>
    </row>
    <row r="54" spans="1:22" x14ac:dyDescent="0.35">
      <c r="A54" t="s">
        <v>95</v>
      </c>
      <c r="B54" s="58">
        <v>45653.333333333336</v>
      </c>
      <c r="C54" s="58">
        <v>45678.708333333336</v>
      </c>
      <c r="D54" s="58">
        <v>45653.333333333336</v>
      </c>
      <c r="E54" s="58">
        <v>45678.708333333336</v>
      </c>
      <c r="F54" t="s">
        <v>83</v>
      </c>
      <c r="G54">
        <v>1</v>
      </c>
      <c r="H54">
        <v>135</v>
      </c>
      <c r="J54">
        <v>1</v>
      </c>
      <c r="K54">
        <v>25.375</v>
      </c>
      <c r="L54">
        <v>25.375</v>
      </c>
      <c r="M54">
        <v>27405</v>
      </c>
      <c r="N54">
        <v>27405</v>
      </c>
      <c r="O54">
        <v>27405</v>
      </c>
      <c r="P54">
        <v>27405</v>
      </c>
      <c r="Q54">
        <v>1</v>
      </c>
      <c r="R54">
        <v>1</v>
      </c>
      <c r="S54">
        <v>0</v>
      </c>
      <c r="T54">
        <v>0</v>
      </c>
      <c r="U54">
        <v>27405</v>
      </c>
      <c r="V54" s="59">
        <v>45688</v>
      </c>
    </row>
    <row r="55" spans="1:22" x14ac:dyDescent="0.35">
      <c r="A55" t="s">
        <v>122</v>
      </c>
      <c r="B55" s="58">
        <v>45639.333333333336</v>
      </c>
      <c r="C55" s="58">
        <v>45658.708333333336</v>
      </c>
      <c r="D55" s="58">
        <v>45639.333333333336</v>
      </c>
      <c r="E55" s="58">
        <v>45658.708333333336</v>
      </c>
      <c r="F55" t="s">
        <v>112</v>
      </c>
      <c r="G55">
        <v>1</v>
      </c>
      <c r="H55">
        <v>135</v>
      </c>
      <c r="J55">
        <v>1</v>
      </c>
      <c r="K55">
        <v>19.375</v>
      </c>
      <c r="L55">
        <v>19.375</v>
      </c>
      <c r="M55">
        <v>20925</v>
      </c>
      <c r="N55">
        <v>20925</v>
      </c>
      <c r="O55">
        <v>20925</v>
      </c>
      <c r="P55">
        <v>20925</v>
      </c>
      <c r="Q55">
        <v>1</v>
      </c>
      <c r="R55">
        <v>1</v>
      </c>
      <c r="S55">
        <v>0</v>
      </c>
      <c r="T55">
        <v>0</v>
      </c>
      <c r="U55">
        <v>20925</v>
      </c>
      <c r="V55" s="59">
        <v>45688</v>
      </c>
    </row>
    <row r="56" spans="1:22" x14ac:dyDescent="0.35">
      <c r="A56" t="s">
        <v>126</v>
      </c>
      <c r="B56" t="s">
        <v>5</v>
      </c>
      <c r="C56" s="58">
        <v>45659.708333333336</v>
      </c>
      <c r="D56" t="s">
        <v>5</v>
      </c>
      <c r="E56" s="58">
        <v>45659.708333333336</v>
      </c>
      <c r="F56" t="s">
        <v>5</v>
      </c>
      <c r="G56">
        <v>1</v>
      </c>
      <c r="H56" t="s">
        <v>5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</v>
      </c>
      <c r="R56" t="s">
        <v>5</v>
      </c>
      <c r="S56">
        <v>0</v>
      </c>
      <c r="T56">
        <v>0</v>
      </c>
      <c r="U56">
        <v>0</v>
      </c>
      <c r="V56" s="59">
        <v>45688</v>
      </c>
    </row>
    <row r="57" spans="1:22" x14ac:dyDescent="0.35">
      <c r="A57" t="s">
        <v>139</v>
      </c>
      <c r="B57" s="58">
        <v>45653.333333333336</v>
      </c>
      <c r="C57" s="58">
        <v>45665.708333333336</v>
      </c>
      <c r="D57" s="58">
        <v>45653.333333333336</v>
      </c>
      <c r="E57" s="58">
        <v>45665.708333333336</v>
      </c>
      <c r="F57" t="s">
        <v>129</v>
      </c>
      <c r="G57">
        <v>1</v>
      </c>
      <c r="H57">
        <v>135</v>
      </c>
      <c r="J57">
        <v>1</v>
      </c>
      <c r="K57">
        <v>12.375</v>
      </c>
      <c r="L57">
        <v>12.375</v>
      </c>
      <c r="M57">
        <v>13365</v>
      </c>
      <c r="N57">
        <v>13365</v>
      </c>
      <c r="O57">
        <v>13365</v>
      </c>
      <c r="P57">
        <v>13365</v>
      </c>
      <c r="Q57">
        <v>1</v>
      </c>
      <c r="R57">
        <v>1</v>
      </c>
      <c r="S57">
        <v>0</v>
      </c>
      <c r="T57">
        <v>0</v>
      </c>
      <c r="U57">
        <v>13365</v>
      </c>
      <c r="V57" s="59">
        <v>45688</v>
      </c>
    </row>
    <row r="58" spans="1:22" x14ac:dyDescent="0.35">
      <c r="A58" t="s">
        <v>145</v>
      </c>
      <c r="B58" s="58">
        <v>45653.333333333336</v>
      </c>
      <c r="C58" s="58">
        <v>45674.708333333336</v>
      </c>
      <c r="D58" s="58">
        <v>45653.333333333336</v>
      </c>
      <c r="E58" s="58">
        <v>45674.708333333336</v>
      </c>
      <c r="F58" t="s">
        <v>70</v>
      </c>
      <c r="G58">
        <v>1</v>
      </c>
      <c r="H58">
        <v>135</v>
      </c>
      <c r="J58">
        <v>1</v>
      </c>
      <c r="K58">
        <v>21.375</v>
      </c>
      <c r="L58">
        <v>21.375</v>
      </c>
      <c r="M58">
        <v>23085</v>
      </c>
      <c r="N58">
        <v>23085</v>
      </c>
      <c r="O58">
        <v>23085</v>
      </c>
      <c r="P58">
        <v>23085</v>
      </c>
      <c r="Q58">
        <v>1</v>
      </c>
      <c r="R58">
        <v>1</v>
      </c>
      <c r="S58">
        <v>0</v>
      </c>
      <c r="T58">
        <v>0</v>
      </c>
      <c r="U58">
        <v>23085</v>
      </c>
      <c r="V58" s="59">
        <v>45688</v>
      </c>
    </row>
    <row r="59" spans="1:22" x14ac:dyDescent="0.35">
      <c r="A59" t="s">
        <v>151</v>
      </c>
      <c r="B59" s="58">
        <v>45667.333333333336</v>
      </c>
      <c r="C59" s="58">
        <v>45687.708333333336</v>
      </c>
      <c r="D59" s="58">
        <v>45667.333333333336</v>
      </c>
      <c r="E59" s="58">
        <v>45687.708333333336</v>
      </c>
      <c r="F59" t="s">
        <v>70</v>
      </c>
      <c r="G59">
        <v>1</v>
      </c>
      <c r="H59">
        <v>135</v>
      </c>
      <c r="J59">
        <v>1</v>
      </c>
      <c r="K59">
        <v>20.375</v>
      </c>
      <c r="L59">
        <v>20.375</v>
      </c>
      <c r="M59">
        <v>22005</v>
      </c>
      <c r="N59">
        <v>22005</v>
      </c>
      <c r="O59">
        <v>22005</v>
      </c>
      <c r="P59">
        <v>22005</v>
      </c>
      <c r="Q59">
        <v>1</v>
      </c>
      <c r="R59">
        <v>1</v>
      </c>
      <c r="S59">
        <v>0</v>
      </c>
      <c r="T59">
        <v>0</v>
      </c>
      <c r="U59">
        <v>22005</v>
      </c>
      <c r="V59" s="59">
        <v>45688</v>
      </c>
    </row>
    <row r="60" spans="1:22" x14ac:dyDescent="0.35">
      <c r="A60" t="s">
        <v>170</v>
      </c>
      <c r="B60" s="58">
        <v>45632.333333333336</v>
      </c>
      <c r="C60" s="58">
        <v>45663.708333333336</v>
      </c>
      <c r="D60" s="58">
        <v>45632.333333333336</v>
      </c>
      <c r="E60" s="58">
        <v>45663.708333333336</v>
      </c>
      <c r="F60" t="s">
        <v>160</v>
      </c>
      <c r="G60">
        <v>1</v>
      </c>
      <c r="H60">
        <v>135</v>
      </c>
      <c r="J60">
        <v>1</v>
      </c>
      <c r="K60">
        <v>31.375</v>
      </c>
      <c r="L60">
        <v>31.375</v>
      </c>
      <c r="M60">
        <v>33885</v>
      </c>
      <c r="N60">
        <v>33885</v>
      </c>
      <c r="O60">
        <v>33885</v>
      </c>
      <c r="P60">
        <v>33885</v>
      </c>
      <c r="Q60">
        <v>1</v>
      </c>
      <c r="R60">
        <v>1</v>
      </c>
      <c r="S60">
        <v>0</v>
      </c>
      <c r="T60">
        <v>0</v>
      </c>
      <c r="U60">
        <v>33885</v>
      </c>
      <c r="V60" s="59">
        <v>45688</v>
      </c>
    </row>
    <row r="61" spans="1:22" x14ac:dyDescent="0.35">
      <c r="A61" t="s">
        <v>172</v>
      </c>
      <c r="B61" s="58">
        <v>45664.333333333336</v>
      </c>
      <c r="C61" s="58">
        <v>45687.708333333336</v>
      </c>
      <c r="D61" s="58">
        <v>45664.333333333336</v>
      </c>
      <c r="E61" s="58">
        <v>45687.708333333336</v>
      </c>
      <c r="F61" t="s">
        <v>160</v>
      </c>
      <c r="G61">
        <v>1</v>
      </c>
      <c r="H61">
        <v>135</v>
      </c>
      <c r="J61">
        <v>1</v>
      </c>
      <c r="K61">
        <v>23.375</v>
      </c>
      <c r="L61">
        <v>23.375</v>
      </c>
      <c r="M61">
        <v>25245</v>
      </c>
      <c r="N61">
        <v>25245</v>
      </c>
      <c r="O61">
        <v>25245</v>
      </c>
      <c r="P61">
        <v>25245</v>
      </c>
      <c r="Q61">
        <v>1</v>
      </c>
      <c r="R61">
        <v>1</v>
      </c>
      <c r="S61">
        <v>0</v>
      </c>
      <c r="T61">
        <v>0</v>
      </c>
      <c r="U61">
        <v>25245</v>
      </c>
      <c r="V61" s="59">
        <v>45688</v>
      </c>
    </row>
    <row r="62" spans="1:22" x14ac:dyDescent="0.35">
      <c r="A62" t="s">
        <v>174</v>
      </c>
      <c r="B62" t="s">
        <v>5</v>
      </c>
      <c r="C62" s="58">
        <v>45688.708333333336</v>
      </c>
      <c r="D62" t="s">
        <v>5</v>
      </c>
      <c r="E62" s="58">
        <v>45688.708333333336</v>
      </c>
      <c r="F62" t="s">
        <v>5</v>
      </c>
      <c r="G62">
        <v>1</v>
      </c>
      <c r="H62" t="s">
        <v>5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5</v>
      </c>
      <c r="R62" t="s">
        <v>5</v>
      </c>
      <c r="S62">
        <v>0</v>
      </c>
      <c r="T62">
        <v>0</v>
      </c>
      <c r="U62">
        <v>0</v>
      </c>
      <c r="V62" s="59">
        <v>45688</v>
      </c>
    </row>
    <row r="63" spans="1:22" x14ac:dyDescent="0.35">
      <c r="A63" t="s">
        <v>221</v>
      </c>
      <c r="B63" s="58">
        <v>45649.333333333336</v>
      </c>
      <c r="C63" s="58">
        <v>45672.708333333336</v>
      </c>
      <c r="D63" s="58">
        <v>45649.333333333336</v>
      </c>
      <c r="E63" s="58">
        <v>45672.708333333336</v>
      </c>
      <c r="F63" t="s">
        <v>112</v>
      </c>
      <c r="G63">
        <v>1</v>
      </c>
      <c r="H63">
        <v>135</v>
      </c>
      <c r="J63">
        <v>1</v>
      </c>
      <c r="K63">
        <v>23.375</v>
      </c>
      <c r="L63">
        <v>23.375</v>
      </c>
      <c r="M63">
        <v>25245</v>
      </c>
      <c r="N63">
        <v>25245</v>
      </c>
      <c r="O63">
        <v>25245</v>
      </c>
      <c r="P63">
        <v>25245</v>
      </c>
      <c r="Q63">
        <v>1</v>
      </c>
      <c r="R63">
        <v>1</v>
      </c>
      <c r="S63">
        <v>0</v>
      </c>
      <c r="T63">
        <v>0</v>
      </c>
      <c r="U63">
        <v>25245</v>
      </c>
      <c r="V63" s="59">
        <v>45688</v>
      </c>
    </row>
    <row r="64" spans="1:22" x14ac:dyDescent="0.35">
      <c r="A64" t="s">
        <v>57</v>
      </c>
      <c r="B64" s="58">
        <v>45693.333333333336</v>
      </c>
      <c r="C64" s="58">
        <v>45702.708333333336</v>
      </c>
      <c r="D64" s="58">
        <v>45693.333333333336</v>
      </c>
      <c r="E64" s="58">
        <v>45702.708333333336</v>
      </c>
      <c r="F64" t="s">
        <v>47</v>
      </c>
      <c r="G64">
        <v>1</v>
      </c>
      <c r="H64">
        <v>145</v>
      </c>
      <c r="J64">
        <v>1</v>
      </c>
      <c r="K64">
        <v>9.375</v>
      </c>
      <c r="L64">
        <v>9.375</v>
      </c>
      <c r="M64">
        <v>10875</v>
      </c>
      <c r="N64">
        <v>10875</v>
      </c>
      <c r="O64">
        <v>10875</v>
      </c>
      <c r="P64">
        <v>10875</v>
      </c>
      <c r="Q64">
        <v>1</v>
      </c>
      <c r="R64">
        <v>1</v>
      </c>
      <c r="S64">
        <v>0</v>
      </c>
      <c r="T64">
        <v>0</v>
      </c>
      <c r="U64">
        <v>10875</v>
      </c>
      <c r="V64" s="59">
        <v>45716</v>
      </c>
    </row>
    <row r="65" spans="1:22" x14ac:dyDescent="0.35">
      <c r="A65" t="s">
        <v>97</v>
      </c>
      <c r="B65" s="58">
        <v>45679.333333333336</v>
      </c>
      <c r="C65" s="58">
        <v>45695.708333333336</v>
      </c>
      <c r="D65" s="58">
        <v>45679.333333333336</v>
      </c>
      <c r="E65" s="58">
        <v>45695.708333333336</v>
      </c>
      <c r="F65" t="s">
        <v>83</v>
      </c>
      <c r="G65">
        <v>1</v>
      </c>
      <c r="H65">
        <v>135</v>
      </c>
      <c r="J65">
        <v>1</v>
      </c>
      <c r="K65">
        <v>16.375</v>
      </c>
      <c r="L65">
        <v>16.375</v>
      </c>
      <c r="M65">
        <v>17685</v>
      </c>
      <c r="N65">
        <v>17685</v>
      </c>
      <c r="O65">
        <v>17685</v>
      </c>
      <c r="P65">
        <v>17685</v>
      </c>
      <c r="Q65">
        <v>1</v>
      </c>
      <c r="R65">
        <v>1</v>
      </c>
      <c r="S65">
        <v>0</v>
      </c>
      <c r="T65">
        <v>0</v>
      </c>
      <c r="U65">
        <v>17685</v>
      </c>
      <c r="V65" s="59">
        <v>45716</v>
      </c>
    </row>
    <row r="66" spans="1:22" x14ac:dyDescent="0.35">
      <c r="A66" t="s">
        <v>128</v>
      </c>
      <c r="B66" s="58">
        <v>45672.333333333336</v>
      </c>
      <c r="C66" s="58">
        <v>45692.708333333336</v>
      </c>
      <c r="D66" s="58">
        <v>45672.333333333336</v>
      </c>
      <c r="E66" s="58">
        <v>45692.708333333336</v>
      </c>
      <c r="F66" t="s">
        <v>129</v>
      </c>
      <c r="G66">
        <v>1</v>
      </c>
      <c r="H66">
        <v>135</v>
      </c>
      <c r="J66">
        <v>1</v>
      </c>
      <c r="K66">
        <v>20.375</v>
      </c>
      <c r="L66">
        <v>20.375</v>
      </c>
      <c r="M66">
        <v>22005</v>
      </c>
      <c r="N66">
        <v>22005</v>
      </c>
      <c r="O66">
        <v>22005</v>
      </c>
      <c r="P66">
        <v>22005</v>
      </c>
      <c r="Q66">
        <v>1</v>
      </c>
      <c r="R66">
        <v>1</v>
      </c>
      <c r="S66">
        <v>0</v>
      </c>
      <c r="T66">
        <v>0</v>
      </c>
      <c r="U66">
        <v>22005</v>
      </c>
      <c r="V66" s="59">
        <v>45716</v>
      </c>
    </row>
    <row r="67" spans="1:22" x14ac:dyDescent="0.35">
      <c r="A67" t="s">
        <v>131</v>
      </c>
      <c r="B67" s="58">
        <v>45693.333333333336</v>
      </c>
      <c r="C67" s="58">
        <v>45714.708333333336</v>
      </c>
      <c r="D67" s="58">
        <v>45693.333333333336</v>
      </c>
      <c r="E67" s="58">
        <v>45714.708333333336</v>
      </c>
      <c r="F67" t="s">
        <v>129</v>
      </c>
      <c r="G67">
        <v>1</v>
      </c>
      <c r="H67">
        <v>135</v>
      </c>
      <c r="J67">
        <v>1</v>
      </c>
      <c r="K67">
        <v>21.375</v>
      </c>
      <c r="L67">
        <v>21.375</v>
      </c>
      <c r="M67">
        <v>23085</v>
      </c>
      <c r="N67">
        <v>23085</v>
      </c>
      <c r="O67">
        <v>23085</v>
      </c>
      <c r="P67">
        <v>23085</v>
      </c>
      <c r="Q67">
        <v>1</v>
      </c>
      <c r="R67">
        <v>1</v>
      </c>
      <c r="S67">
        <v>0</v>
      </c>
      <c r="T67">
        <v>0</v>
      </c>
      <c r="U67">
        <v>23085</v>
      </c>
      <c r="V67" s="59">
        <v>45716</v>
      </c>
    </row>
    <row r="68" spans="1:22" x14ac:dyDescent="0.35">
      <c r="A68" t="s">
        <v>147</v>
      </c>
      <c r="B68" s="58">
        <v>45677.333333333336</v>
      </c>
      <c r="C68" s="58">
        <v>45693.708333333336</v>
      </c>
      <c r="D68" s="58">
        <v>45677.333333333336</v>
      </c>
      <c r="E68" s="58">
        <v>45693.708333333336</v>
      </c>
      <c r="F68" t="s">
        <v>70</v>
      </c>
      <c r="G68">
        <v>1</v>
      </c>
      <c r="H68">
        <v>135</v>
      </c>
      <c r="J68">
        <v>1</v>
      </c>
      <c r="K68">
        <v>16.375</v>
      </c>
      <c r="L68">
        <v>16.375</v>
      </c>
      <c r="M68">
        <v>17685</v>
      </c>
      <c r="N68">
        <v>17685</v>
      </c>
      <c r="O68">
        <v>17685</v>
      </c>
      <c r="P68">
        <v>17685</v>
      </c>
      <c r="Q68">
        <v>1</v>
      </c>
      <c r="R68">
        <v>1</v>
      </c>
      <c r="S68">
        <v>0</v>
      </c>
      <c r="T68">
        <v>0</v>
      </c>
      <c r="U68">
        <v>17685</v>
      </c>
      <c r="V68" s="59">
        <v>45716</v>
      </c>
    </row>
    <row r="69" spans="1:22" x14ac:dyDescent="0.35">
      <c r="A69" t="s">
        <v>658</v>
      </c>
      <c r="B69" s="58">
        <v>45686.333333333336</v>
      </c>
      <c r="C69" s="58">
        <v>45702.708333333336</v>
      </c>
      <c r="D69" s="58">
        <v>45686.333333333336</v>
      </c>
      <c r="E69" s="58">
        <v>45702.708333333336</v>
      </c>
      <c r="F69" t="s">
        <v>70</v>
      </c>
      <c r="G69">
        <v>1</v>
      </c>
      <c r="H69">
        <v>135</v>
      </c>
      <c r="J69">
        <v>1</v>
      </c>
      <c r="K69">
        <v>16.375</v>
      </c>
      <c r="L69">
        <v>16.375</v>
      </c>
      <c r="M69">
        <v>17685</v>
      </c>
      <c r="N69">
        <v>17685</v>
      </c>
      <c r="O69">
        <v>17685</v>
      </c>
      <c r="P69">
        <v>17685</v>
      </c>
      <c r="Q69">
        <v>1</v>
      </c>
      <c r="R69">
        <v>1</v>
      </c>
      <c r="S69">
        <v>0</v>
      </c>
      <c r="T69">
        <v>0</v>
      </c>
      <c r="U69">
        <v>17685</v>
      </c>
      <c r="V69" s="59">
        <v>45716</v>
      </c>
    </row>
    <row r="70" spans="1:22" x14ac:dyDescent="0.35">
      <c r="A70" t="s">
        <v>155</v>
      </c>
      <c r="B70" s="58">
        <v>45698.333333333336</v>
      </c>
      <c r="C70" s="58">
        <v>45709.708333333336</v>
      </c>
      <c r="D70" s="58">
        <v>45698.333333333336</v>
      </c>
      <c r="E70" s="58">
        <v>45709.708333333336</v>
      </c>
      <c r="F70" t="s">
        <v>70</v>
      </c>
      <c r="G70">
        <v>1</v>
      </c>
      <c r="H70">
        <v>135</v>
      </c>
      <c r="J70">
        <v>1</v>
      </c>
      <c r="K70">
        <v>11.375</v>
      </c>
      <c r="L70">
        <v>11.375</v>
      </c>
      <c r="M70">
        <v>12285</v>
      </c>
      <c r="N70">
        <v>12285</v>
      </c>
      <c r="O70">
        <v>12285</v>
      </c>
      <c r="P70">
        <v>12285</v>
      </c>
      <c r="Q70">
        <v>1</v>
      </c>
      <c r="R70">
        <v>1</v>
      </c>
      <c r="S70">
        <v>0</v>
      </c>
      <c r="T70">
        <v>0</v>
      </c>
      <c r="U70">
        <v>12285</v>
      </c>
      <c r="V70" s="59">
        <v>45716</v>
      </c>
    </row>
    <row r="71" spans="1:22" x14ac:dyDescent="0.35">
      <c r="A71" t="s">
        <v>179</v>
      </c>
      <c r="B71" s="58">
        <v>45688.333333333336</v>
      </c>
      <c r="C71" s="58">
        <v>45707.708333333336</v>
      </c>
      <c r="D71" s="58">
        <v>45688.333333333336</v>
      </c>
      <c r="E71" s="58">
        <v>45707.708333333336</v>
      </c>
      <c r="F71" t="s">
        <v>177</v>
      </c>
      <c r="G71">
        <v>1</v>
      </c>
      <c r="H71">
        <v>115</v>
      </c>
      <c r="J71">
        <v>1</v>
      </c>
      <c r="K71">
        <v>19.375</v>
      </c>
      <c r="L71">
        <v>19.375</v>
      </c>
      <c r="M71">
        <v>17825</v>
      </c>
      <c r="N71">
        <v>17825</v>
      </c>
      <c r="O71">
        <v>17825</v>
      </c>
      <c r="P71">
        <v>17825</v>
      </c>
      <c r="Q71">
        <v>1</v>
      </c>
      <c r="R71">
        <v>1</v>
      </c>
      <c r="S71">
        <v>0</v>
      </c>
      <c r="T71">
        <v>0</v>
      </c>
      <c r="U71">
        <v>17825</v>
      </c>
      <c r="V71" s="59">
        <v>45716</v>
      </c>
    </row>
    <row r="72" spans="1:22" x14ac:dyDescent="0.35">
      <c r="A72" t="s">
        <v>184</v>
      </c>
      <c r="B72" s="58">
        <v>45638.333333333336</v>
      </c>
      <c r="C72" s="58">
        <v>45698.708333333336</v>
      </c>
      <c r="D72" s="58">
        <v>45638.333333333336</v>
      </c>
      <c r="E72" s="58">
        <v>45698.708333333336</v>
      </c>
      <c r="F72" t="s">
        <v>185</v>
      </c>
      <c r="G72">
        <v>1</v>
      </c>
      <c r="H72">
        <v>95</v>
      </c>
      <c r="J72">
        <v>1</v>
      </c>
      <c r="K72">
        <v>60.375</v>
      </c>
      <c r="L72">
        <v>60.375</v>
      </c>
      <c r="M72">
        <v>45885</v>
      </c>
      <c r="N72">
        <v>45885</v>
      </c>
      <c r="O72">
        <v>45885</v>
      </c>
      <c r="P72">
        <v>45885</v>
      </c>
      <c r="Q72">
        <v>1</v>
      </c>
      <c r="R72">
        <v>1</v>
      </c>
      <c r="S72">
        <v>0</v>
      </c>
      <c r="T72">
        <v>0</v>
      </c>
      <c r="U72">
        <v>45885</v>
      </c>
      <c r="V72" s="59">
        <v>45716</v>
      </c>
    </row>
    <row r="73" spans="1:22" x14ac:dyDescent="0.35">
      <c r="A73" t="s">
        <v>187</v>
      </c>
      <c r="B73" s="58">
        <v>45638.333333333336</v>
      </c>
      <c r="C73" s="58">
        <v>45708.708333333336</v>
      </c>
      <c r="D73" s="58">
        <v>45638.333333333336</v>
      </c>
      <c r="E73" s="58">
        <v>45708.708333333336</v>
      </c>
      <c r="F73" t="s">
        <v>177</v>
      </c>
      <c r="G73">
        <v>1</v>
      </c>
      <c r="H73">
        <v>115</v>
      </c>
      <c r="J73">
        <v>1</v>
      </c>
      <c r="K73">
        <v>70.375</v>
      </c>
      <c r="L73">
        <v>70.375</v>
      </c>
      <c r="M73">
        <v>64745</v>
      </c>
      <c r="N73">
        <v>64745</v>
      </c>
      <c r="O73">
        <v>64745</v>
      </c>
      <c r="P73">
        <v>64745</v>
      </c>
      <c r="Q73">
        <v>1</v>
      </c>
      <c r="R73">
        <v>1</v>
      </c>
      <c r="S73">
        <v>0</v>
      </c>
      <c r="T73">
        <v>0</v>
      </c>
      <c r="U73">
        <v>64745</v>
      </c>
      <c r="V73" s="59">
        <v>45716</v>
      </c>
    </row>
    <row r="74" spans="1:22" x14ac:dyDescent="0.35">
      <c r="A74" t="s">
        <v>189</v>
      </c>
      <c r="B74" s="58">
        <v>45709.333333333336</v>
      </c>
      <c r="C74" s="58">
        <v>45712.708333333336</v>
      </c>
      <c r="D74" s="58">
        <v>45709.333333333336</v>
      </c>
      <c r="E74" s="58">
        <v>45712.708333333336</v>
      </c>
      <c r="F74" t="s">
        <v>185</v>
      </c>
      <c r="G74">
        <v>1</v>
      </c>
      <c r="H74">
        <v>95</v>
      </c>
      <c r="J74">
        <v>1</v>
      </c>
      <c r="K74">
        <v>3.375</v>
      </c>
      <c r="L74">
        <v>3.375</v>
      </c>
      <c r="M74">
        <v>2565</v>
      </c>
      <c r="N74">
        <v>2565</v>
      </c>
      <c r="O74">
        <v>2565</v>
      </c>
      <c r="P74">
        <v>2565</v>
      </c>
      <c r="Q74">
        <v>1</v>
      </c>
      <c r="R74">
        <v>1</v>
      </c>
      <c r="S74">
        <v>0</v>
      </c>
      <c r="T74">
        <v>0</v>
      </c>
      <c r="U74">
        <v>2565</v>
      </c>
      <c r="V74" s="59">
        <v>45716</v>
      </c>
    </row>
    <row r="75" spans="1:22" x14ac:dyDescent="0.35">
      <c r="A75" t="s">
        <v>191</v>
      </c>
      <c r="B75" s="58">
        <v>45708.333333333336</v>
      </c>
      <c r="C75" s="58">
        <v>45709.708333333336</v>
      </c>
      <c r="D75" s="58">
        <v>45708.333333333336</v>
      </c>
      <c r="E75" s="58">
        <v>45709.708333333336</v>
      </c>
      <c r="F75" t="s">
        <v>5</v>
      </c>
      <c r="G75">
        <v>1</v>
      </c>
      <c r="H75" t="s">
        <v>5</v>
      </c>
      <c r="J75">
        <v>1</v>
      </c>
      <c r="K75">
        <v>1.375</v>
      </c>
      <c r="L75">
        <v>1.375</v>
      </c>
      <c r="M75">
        <v>0</v>
      </c>
      <c r="N75">
        <v>0</v>
      </c>
      <c r="O75">
        <v>0</v>
      </c>
      <c r="P75">
        <v>0</v>
      </c>
      <c r="Q75" t="s">
        <v>5</v>
      </c>
      <c r="R75" t="s">
        <v>5</v>
      </c>
      <c r="S75">
        <v>0</v>
      </c>
      <c r="T75">
        <v>0</v>
      </c>
      <c r="U75">
        <v>0</v>
      </c>
      <c r="V75" s="59">
        <v>45716</v>
      </c>
    </row>
    <row r="76" spans="1:22" x14ac:dyDescent="0.35">
      <c r="A76" t="s">
        <v>659</v>
      </c>
      <c r="B76" s="58">
        <v>45687.333333333336</v>
      </c>
      <c r="C76" s="58">
        <v>45701.708333333336</v>
      </c>
      <c r="D76" s="58">
        <v>45687.333333333336</v>
      </c>
      <c r="E76" s="58">
        <v>45701.708333333336</v>
      </c>
      <c r="F76" t="s">
        <v>194</v>
      </c>
      <c r="G76">
        <v>1</v>
      </c>
      <c r="H76">
        <v>120</v>
      </c>
      <c r="J76">
        <v>1</v>
      </c>
      <c r="K76">
        <v>14.375</v>
      </c>
      <c r="L76">
        <v>14.375</v>
      </c>
      <c r="M76">
        <v>13800</v>
      </c>
      <c r="N76">
        <v>13800</v>
      </c>
      <c r="O76">
        <v>13800</v>
      </c>
      <c r="P76">
        <v>13800</v>
      </c>
      <c r="Q76">
        <v>1</v>
      </c>
      <c r="R76">
        <v>1</v>
      </c>
      <c r="S76">
        <v>0</v>
      </c>
      <c r="T76">
        <v>0</v>
      </c>
      <c r="U76">
        <v>13800</v>
      </c>
      <c r="V76" s="59">
        <v>45716</v>
      </c>
    </row>
    <row r="77" spans="1:22" x14ac:dyDescent="0.35">
      <c r="A77" t="s">
        <v>660</v>
      </c>
      <c r="B77" s="58">
        <v>45702.333333333336</v>
      </c>
      <c r="C77" s="58">
        <v>45709.708333333336</v>
      </c>
      <c r="D77" s="58">
        <v>45702.333333333336</v>
      </c>
      <c r="E77" s="58">
        <v>45709.708333333336</v>
      </c>
      <c r="F77" t="s">
        <v>83</v>
      </c>
      <c r="G77">
        <v>1</v>
      </c>
      <c r="H77">
        <v>135</v>
      </c>
      <c r="J77">
        <v>1</v>
      </c>
      <c r="K77">
        <v>7.375</v>
      </c>
      <c r="L77">
        <v>7.375</v>
      </c>
      <c r="M77">
        <v>7965</v>
      </c>
      <c r="N77">
        <v>7965</v>
      </c>
      <c r="O77">
        <v>7965</v>
      </c>
      <c r="P77">
        <v>7965</v>
      </c>
      <c r="Q77">
        <v>1</v>
      </c>
      <c r="R77">
        <v>1</v>
      </c>
      <c r="S77">
        <v>0</v>
      </c>
      <c r="T77">
        <v>0</v>
      </c>
      <c r="U77">
        <v>7965</v>
      </c>
      <c r="V77" s="59">
        <v>45716</v>
      </c>
    </row>
    <row r="78" spans="1:22" x14ac:dyDescent="0.35">
      <c r="A78" t="s">
        <v>663</v>
      </c>
      <c r="B78" s="58">
        <v>45698.333333333336</v>
      </c>
      <c r="C78" s="58">
        <v>45706.708333333336</v>
      </c>
      <c r="D78" s="58">
        <v>45733.333333333336</v>
      </c>
      <c r="E78" s="58">
        <v>45741.708333333336</v>
      </c>
      <c r="F78" t="s">
        <v>5</v>
      </c>
      <c r="G78">
        <v>1</v>
      </c>
      <c r="H78" t="s">
        <v>5</v>
      </c>
      <c r="J78">
        <v>1</v>
      </c>
      <c r="K78">
        <v>8.375</v>
      </c>
      <c r="L78">
        <v>8.375</v>
      </c>
      <c r="M78">
        <v>0</v>
      </c>
      <c r="N78">
        <v>0</v>
      </c>
      <c r="O78">
        <v>0</v>
      </c>
      <c r="P78">
        <v>0</v>
      </c>
      <c r="Q78" t="s">
        <v>5</v>
      </c>
      <c r="R78" t="s">
        <v>5</v>
      </c>
      <c r="S78">
        <v>0</v>
      </c>
      <c r="T78">
        <v>0</v>
      </c>
      <c r="U78">
        <v>0</v>
      </c>
      <c r="V78" s="59">
        <v>45716</v>
      </c>
    </row>
    <row r="79" spans="1:22" x14ac:dyDescent="0.35">
      <c r="A79" t="s">
        <v>230</v>
      </c>
      <c r="B79" s="58">
        <v>45707.333333333336</v>
      </c>
      <c r="C79" s="58">
        <v>45708.708333333336</v>
      </c>
      <c r="D79" s="58">
        <v>45741.333333333336</v>
      </c>
      <c r="E79" s="58">
        <v>45742.708333333336</v>
      </c>
      <c r="F79" t="s">
        <v>194</v>
      </c>
      <c r="G79">
        <v>1</v>
      </c>
      <c r="H79">
        <v>120</v>
      </c>
      <c r="J79">
        <v>1</v>
      </c>
      <c r="K79">
        <v>1.375</v>
      </c>
      <c r="L79">
        <v>1.375</v>
      </c>
      <c r="M79">
        <v>1320</v>
      </c>
      <c r="N79">
        <v>1320</v>
      </c>
      <c r="O79">
        <v>1320</v>
      </c>
      <c r="P79">
        <v>1320</v>
      </c>
      <c r="Q79">
        <v>1</v>
      </c>
      <c r="R79">
        <v>1</v>
      </c>
      <c r="S79">
        <v>0</v>
      </c>
      <c r="T79">
        <v>0</v>
      </c>
      <c r="U79">
        <v>1320</v>
      </c>
      <c r="V79" s="59">
        <v>45716</v>
      </c>
    </row>
    <row r="80" spans="1:22" x14ac:dyDescent="0.35">
      <c r="A80" t="s">
        <v>244</v>
      </c>
      <c r="B80" s="58">
        <v>45653.333333333336</v>
      </c>
      <c r="C80" s="58">
        <v>45705.708333333336</v>
      </c>
      <c r="D80" s="58">
        <v>45653.333333333336</v>
      </c>
      <c r="E80" s="58">
        <v>45705.708333333336</v>
      </c>
      <c r="F80" t="s">
        <v>245</v>
      </c>
      <c r="G80">
        <v>1</v>
      </c>
      <c r="H80" t="s">
        <v>5</v>
      </c>
      <c r="I80">
        <v>4500000</v>
      </c>
      <c r="J80">
        <v>1</v>
      </c>
      <c r="K80">
        <v>52.375</v>
      </c>
      <c r="L80">
        <v>52.375</v>
      </c>
      <c r="M80">
        <v>4500000</v>
      </c>
      <c r="N80">
        <v>4500000</v>
      </c>
      <c r="O80">
        <v>4500000</v>
      </c>
      <c r="P80">
        <v>4500000</v>
      </c>
      <c r="Q80">
        <v>1</v>
      </c>
      <c r="R80">
        <v>1</v>
      </c>
      <c r="S80">
        <v>0</v>
      </c>
      <c r="T80">
        <v>0</v>
      </c>
      <c r="U80">
        <v>4500000</v>
      </c>
      <c r="V80" s="59">
        <v>45716</v>
      </c>
    </row>
    <row r="81" spans="1:22" x14ac:dyDescent="0.35">
      <c r="A81" t="s">
        <v>247</v>
      </c>
      <c r="B81" s="58">
        <v>45706.333333333336</v>
      </c>
      <c r="C81" s="58">
        <v>45712.708333333336</v>
      </c>
      <c r="D81" s="58">
        <v>45706.333333333336</v>
      </c>
      <c r="E81" s="58">
        <v>45712.708333333336</v>
      </c>
      <c r="F81" t="s">
        <v>213</v>
      </c>
      <c r="G81">
        <v>1</v>
      </c>
      <c r="H81">
        <v>85</v>
      </c>
      <c r="J81">
        <v>1</v>
      </c>
      <c r="K81">
        <v>6.375</v>
      </c>
      <c r="L81">
        <v>6.375</v>
      </c>
      <c r="M81">
        <v>4335</v>
      </c>
      <c r="N81">
        <v>4335</v>
      </c>
      <c r="O81">
        <v>4335</v>
      </c>
      <c r="P81">
        <v>4335</v>
      </c>
      <c r="Q81">
        <v>1</v>
      </c>
      <c r="R81">
        <v>1</v>
      </c>
      <c r="S81">
        <v>0</v>
      </c>
      <c r="T81">
        <v>0</v>
      </c>
      <c r="U81">
        <v>4335</v>
      </c>
      <c r="V81" s="59">
        <v>45716</v>
      </c>
    </row>
    <row r="82" spans="1:22" x14ac:dyDescent="0.35">
      <c r="A82" t="s">
        <v>99</v>
      </c>
      <c r="B82" s="58">
        <v>45698.333333333336</v>
      </c>
      <c r="C82" s="58">
        <v>45719.708333333336</v>
      </c>
      <c r="D82" s="58">
        <v>45698.333333333336</v>
      </c>
      <c r="E82" s="58">
        <v>45719.708333333336</v>
      </c>
      <c r="F82" t="s">
        <v>55</v>
      </c>
      <c r="G82">
        <v>1</v>
      </c>
      <c r="H82">
        <v>85</v>
      </c>
      <c r="J82">
        <v>1</v>
      </c>
      <c r="K82">
        <v>21.375</v>
      </c>
      <c r="L82">
        <v>21.375</v>
      </c>
      <c r="M82">
        <v>14535</v>
      </c>
      <c r="N82">
        <v>14535</v>
      </c>
      <c r="O82">
        <v>14535</v>
      </c>
      <c r="P82">
        <v>14535</v>
      </c>
      <c r="Q82">
        <v>1</v>
      </c>
      <c r="R82">
        <v>1</v>
      </c>
      <c r="S82">
        <v>0</v>
      </c>
      <c r="T82">
        <v>0</v>
      </c>
      <c r="U82">
        <v>14535</v>
      </c>
      <c r="V82" s="59">
        <v>45747</v>
      </c>
    </row>
    <row r="83" spans="1:22" x14ac:dyDescent="0.35">
      <c r="A83" t="s">
        <v>101</v>
      </c>
      <c r="B83" s="58">
        <v>45720.333333333336</v>
      </c>
      <c r="C83" s="58">
        <v>45747.708333333336</v>
      </c>
      <c r="D83" s="58">
        <v>45720.333333333336</v>
      </c>
      <c r="E83" t="s">
        <v>5</v>
      </c>
      <c r="F83" t="s">
        <v>55</v>
      </c>
      <c r="G83">
        <v>0.1</v>
      </c>
      <c r="H83">
        <v>85</v>
      </c>
      <c r="J83">
        <v>1</v>
      </c>
      <c r="K83">
        <v>27.375</v>
      </c>
      <c r="L83">
        <v>0</v>
      </c>
      <c r="M83">
        <v>18615</v>
      </c>
      <c r="N83">
        <v>0</v>
      </c>
      <c r="O83">
        <v>18615</v>
      </c>
      <c r="P83">
        <v>1861.5</v>
      </c>
      <c r="Q83" t="s">
        <v>5</v>
      </c>
      <c r="R83">
        <v>0.1</v>
      </c>
      <c r="S83">
        <v>1861.5</v>
      </c>
      <c r="T83">
        <v>-16753.5</v>
      </c>
      <c r="U83">
        <v>16753.5</v>
      </c>
      <c r="V83" s="59">
        <v>45747</v>
      </c>
    </row>
    <row r="84" spans="1:22" x14ac:dyDescent="0.35">
      <c r="A84" t="s">
        <v>133</v>
      </c>
      <c r="B84" s="58">
        <v>45715.333333333336</v>
      </c>
      <c r="C84" s="58">
        <v>45728.708333333336</v>
      </c>
      <c r="D84" s="58">
        <v>45715.333333333336</v>
      </c>
      <c r="E84" t="s">
        <v>5</v>
      </c>
      <c r="F84" t="s">
        <v>129</v>
      </c>
      <c r="G84">
        <v>0.4</v>
      </c>
      <c r="H84">
        <v>135</v>
      </c>
      <c r="J84">
        <v>1</v>
      </c>
      <c r="K84">
        <v>13.375</v>
      </c>
      <c r="L84">
        <v>0</v>
      </c>
      <c r="M84">
        <v>14445</v>
      </c>
      <c r="N84">
        <v>0</v>
      </c>
      <c r="O84">
        <v>14445</v>
      </c>
      <c r="P84">
        <v>5778</v>
      </c>
      <c r="Q84" t="s">
        <v>5</v>
      </c>
      <c r="R84">
        <v>0.4</v>
      </c>
      <c r="S84">
        <v>5778</v>
      </c>
      <c r="T84">
        <v>-8667</v>
      </c>
      <c r="U84">
        <v>8667</v>
      </c>
      <c r="V84" s="59">
        <v>45747</v>
      </c>
    </row>
    <row r="85" spans="1:22" x14ac:dyDescent="0.35">
      <c r="A85" t="s">
        <v>149</v>
      </c>
      <c r="B85" s="58">
        <v>45694.333333333336</v>
      </c>
      <c r="C85" s="58">
        <v>45723.708333333336</v>
      </c>
      <c r="D85" s="58">
        <v>45694.333333333336</v>
      </c>
      <c r="E85" t="s">
        <v>5</v>
      </c>
      <c r="F85" t="s">
        <v>70</v>
      </c>
      <c r="G85">
        <v>0.90910000000000002</v>
      </c>
      <c r="H85">
        <v>135</v>
      </c>
      <c r="J85">
        <v>1</v>
      </c>
      <c r="K85">
        <v>29.375</v>
      </c>
      <c r="L85">
        <v>0</v>
      </c>
      <c r="M85">
        <v>31725</v>
      </c>
      <c r="N85">
        <v>0</v>
      </c>
      <c r="O85">
        <v>31725</v>
      </c>
      <c r="P85">
        <v>28841.197500000002</v>
      </c>
      <c r="Q85" t="s">
        <v>5</v>
      </c>
      <c r="R85">
        <v>0.90910000000000002</v>
      </c>
      <c r="S85">
        <v>28841.197500000002</v>
      </c>
      <c r="T85">
        <v>-2883.802499999998</v>
      </c>
      <c r="U85">
        <v>2883.802499999998</v>
      </c>
      <c r="V85" s="59">
        <v>45747</v>
      </c>
    </row>
    <row r="86" spans="1:22" x14ac:dyDescent="0.35">
      <c r="A86" t="s">
        <v>157</v>
      </c>
      <c r="B86" t="s">
        <v>5</v>
      </c>
      <c r="C86" s="58">
        <v>45726.708333333336</v>
      </c>
      <c r="D86" t="s">
        <v>5</v>
      </c>
      <c r="E86" s="58">
        <v>45727.708333333336</v>
      </c>
      <c r="F86" t="s">
        <v>5</v>
      </c>
      <c r="G86">
        <v>1</v>
      </c>
      <c r="H86" t="s">
        <v>5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</v>
      </c>
      <c r="R86" t="s">
        <v>5</v>
      </c>
      <c r="S86">
        <v>0</v>
      </c>
      <c r="T86">
        <v>0</v>
      </c>
      <c r="U86">
        <v>0</v>
      </c>
      <c r="V86" s="59">
        <v>45747</v>
      </c>
    </row>
    <row r="87" spans="1:22" x14ac:dyDescent="0.35">
      <c r="A87" t="s">
        <v>661</v>
      </c>
      <c r="B87" s="58">
        <v>45712.333333333336</v>
      </c>
      <c r="C87" s="58">
        <v>45722.708333333336</v>
      </c>
      <c r="D87" s="58">
        <v>45712.333333333336</v>
      </c>
      <c r="E87" t="s">
        <v>5</v>
      </c>
      <c r="F87" t="s">
        <v>83</v>
      </c>
      <c r="G87">
        <v>0.88890000000000002</v>
      </c>
      <c r="H87">
        <v>135</v>
      </c>
      <c r="J87">
        <v>1</v>
      </c>
      <c r="K87">
        <v>10.375</v>
      </c>
      <c r="L87">
        <v>0</v>
      </c>
      <c r="M87">
        <v>11205</v>
      </c>
      <c r="N87">
        <v>0</v>
      </c>
      <c r="O87">
        <v>11205</v>
      </c>
      <c r="P87">
        <v>9960.1244999999999</v>
      </c>
      <c r="Q87" t="s">
        <v>5</v>
      </c>
      <c r="R87">
        <v>0.88890000000000002</v>
      </c>
      <c r="S87">
        <v>9960.1244999999999</v>
      </c>
      <c r="T87">
        <v>-1244.8755000000001</v>
      </c>
      <c r="U87">
        <v>1244.8755000000001</v>
      </c>
      <c r="V87" s="59">
        <v>45747</v>
      </c>
    </row>
    <row r="88" spans="1:22" x14ac:dyDescent="0.35">
      <c r="A88" t="s">
        <v>200</v>
      </c>
      <c r="B88" s="58">
        <v>45723.333333333336</v>
      </c>
      <c r="C88" t="s">
        <v>5</v>
      </c>
      <c r="D88" s="58">
        <v>45723.333333333336</v>
      </c>
      <c r="E88" t="s">
        <v>5</v>
      </c>
      <c r="F88" t="s">
        <v>5</v>
      </c>
      <c r="G88">
        <v>1</v>
      </c>
      <c r="H88" t="s">
        <v>5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</v>
      </c>
      <c r="R88" t="s">
        <v>5</v>
      </c>
      <c r="S88">
        <v>0</v>
      </c>
      <c r="T88">
        <v>0</v>
      </c>
      <c r="U88">
        <v>0</v>
      </c>
      <c r="V88" s="59">
        <v>45747</v>
      </c>
    </row>
    <row r="89" spans="1:22" x14ac:dyDescent="0.35">
      <c r="A89" t="s">
        <v>468</v>
      </c>
      <c r="B89" s="58">
        <v>45723.333333333336</v>
      </c>
      <c r="C89" s="58">
        <v>45742.708333333336</v>
      </c>
      <c r="D89" s="58">
        <v>45723.333333333336</v>
      </c>
      <c r="E89" s="58">
        <v>45748.708333333336</v>
      </c>
      <c r="F89" t="s">
        <v>83</v>
      </c>
      <c r="G89">
        <v>1</v>
      </c>
      <c r="H89">
        <v>135</v>
      </c>
      <c r="J89">
        <v>1</v>
      </c>
      <c r="K89">
        <v>19.375</v>
      </c>
      <c r="L89">
        <v>25.375</v>
      </c>
      <c r="M89">
        <v>20925</v>
      </c>
      <c r="N89">
        <v>27405</v>
      </c>
      <c r="O89">
        <v>20925</v>
      </c>
      <c r="P89">
        <v>20925</v>
      </c>
      <c r="Q89">
        <v>0.76354679802955661</v>
      </c>
      <c r="R89">
        <v>1</v>
      </c>
      <c r="S89">
        <v>-6480</v>
      </c>
      <c r="T89">
        <v>0</v>
      </c>
      <c r="U89">
        <v>27405</v>
      </c>
      <c r="V89" s="59">
        <v>45747</v>
      </c>
    </row>
    <row r="90" spans="1:22" x14ac:dyDescent="0.35">
      <c r="A90" t="s">
        <v>232</v>
      </c>
      <c r="B90" s="58">
        <v>45709.333333333336</v>
      </c>
      <c r="C90" s="58">
        <v>45735.708333333336</v>
      </c>
      <c r="D90" s="58">
        <v>45709.333333333336</v>
      </c>
      <c r="E90" t="s">
        <v>5</v>
      </c>
      <c r="F90" t="s">
        <v>194</v>
      </c>
      <c r="G90">
        <v>0.47369999999999995</v>
      </c>
      <c r="H90">
        <v>120</v>
      </c>
      <c r="J90">
        <v>1</v>
      </c>
      <c r="K90">
        <v>26.375</v>
      </c>
      <c r="L90">
        <v>0</v>
      </c>
      <c r="M90">
        <v>25320</v>
      </c>
      <c r="N90">
        <v>0</v>
      </c>
      <c r="O90">
        <v>25320</v>
      </c>
      <c r="P90">
        <v>11994.083999999999</v>
      </c>
      <c r="Q90" t="s">
        <v>5</v>
      </c>
      <c r="R90">
        <v>0.47369999999999995</v>
      </c>
      <c r="S90">
        <v>11994.083999999999</v>
      </c>
      <c r="T90">
        <v>-13325.916000000001</v>
      </c>
      <c r="U90">
        <v>13325.916000000001</v>
      </c>
      <c r="V90" s="59">
        <v>45747</v>
      </c>
    </row>
    <row r="91" spans="1:22" x14ac:dyDescent="0.35">
      <c r="A91" t="s">
        <v>59</v>
      </c>
      <c r="B91" s="58">
        <v>45757.333333333336</v>
      </c>
      <c r="C91" s="58">
        <v>45768.708333333336</v>
      </c>
      <c r="D91" s="58">
        <v>45757.333333333336</v>
      </c>
      <c r="E91" s="58">
        <v>45769.333333333336</v>
      </c>
      <c r="F91" t="s">
        <v>47</v>
      </c>
      <c r="G91">
        <v>1</v>
      </c>
      <c r="H91">
        <v>145</v>
      </c>
      <c r="J91">
        <v>1</v>
      </c>
      <c r="K91">
        <v>11.375</v>
      </c>
      <c r="L91">
        <v>12</v>
      </c>
      <c r="M91">
        <v>13195</v>
      </c>
      <c r="N91">
        <v>13920</v>
      </c>
      <c r="O91">
        <v>13195</v>
      </c>
      <c r="P91">
        <v>13195</v>
      </c>
      <c r="Q91">
        <v>0.94791666666666663</v>
      </c>
      <c r="R91">
        <v>1</v>
      </c>
      <c r="S91">
        <v>-725</v>
      </c>
      <c r="T91">
        <v>0</v>
      </c>
      <c r="U91">
        <v>13920</v>
      </c>
      <c r="V91" s="59">
        <v>45777</v>
      </c>
    </row>
    <row r="92" spans="1:22" x14ac:dyDescent="0.35">
      <c r="A92" t="s">
        <v>135</v>
      </c>
      <c r="B92" s="58">
        <v>45729.333333333336</v>
      </c>
      <c r="C92" s="58">
        <v>45750.708333333336</v>
      </c>
      <c r="D92" s="58">
        <v>45729.333333333336</v>
      </c>
      <c r="E92" s="58">
        <v>45750.708333333336</v>
      </c>
      <c r="F92" t="s">
        <v>129</v>
      </c>
      <c r="G92">
        <v>1</v>
      </c>
      <c r="H92">
        <v>135</v>
      </c>
      <c r="J92">
        <v>1</v>
      </c>
      <c r="K92">
        <v>21.375</v>
      </c>
      <c r="L92">
        <v>21.375</v>
      </c>
      <c r="M92">
        <v>23085</v>
      </c>
      <c r="N92">
        <v>23085</v>
      </c>
      <c r="O92">
        <v>23085</v>
      </c>
      <c r="P92">
        <v>23085</v>
      </c>
      <c r="Q92">
        <v>1</v>
      </c>
      <c r="R92">
        <v>1</v>
      </c>
      <c r="S92">
        <v>0</v>
      </c>
      <c r="T92">
        <v>0</v>
      </c>
      <c r="U92">
        <v>23085</v>
      </c>
      <c r="V92" s="59">
        <v>45777</v>
      </c>
    </row>
    <row r="93" spans="1:22" x14ac:dyDescent="0.35">
      <c r="A93" t="s">
        <v>141</v>
      </c>
      <c r="B93" s="58">
        <v>45729.333333333336</v>
      </c>
      <c r="C93" s="58">
        <v>45756.708333333336</v>
      </c>
      <c r="D93" s="58">
        <v>45729.333333333336</v>
      </c>
      <c r="E93" s="58">
        <v>45757.708333333336</v>
      </c>
      <c r="F93" t="s">
        <v>129</v>
      </c>
      <c r="G93">
        <v>1</v>
      </c>
      <c r="H93">
        <v>135</v>
      </c>
      <c r="J93">
        <v>1</v>
      </c>
      <c r="K93">
        <v>27.375</v>
      </c>
      <c r="L93">
        <v>28.375</v>
      </c>
      <c r="M93">
        <v>29565</v>
      </c>
      <c r="N93">
        <v>30645</v>
      </c>
      <c r="O93">
        <v>29565</v>
      </c>
      <c r="P93">
        <v>29565</v>
      </c>
      <c r="Q93">
        <v>0.96475770925110127</v>
      </c>
      <c r="R93">
        <v>1</v>
      </c>
      <c r="S93">
        <v>-1080</v>
      </c>
      <c r="T93">
        <v>0</v>
      </c>
      <c r="U93">
        <v>30645</v>
      </c>
      <c r="V93" s="59">
        <v>45777</v>
      </c>
    </row>
    <row r="94" spans="1:22" x14ac:dyDescent="0.35">
      <c r="A94" t="s">
        <v>143</v>
      </c>
      <c r="B94" s="58">
        <v>45757.333333333336</v>
      </c>
      <c r="C94" t="s">
        <v>5</v>
      </c>
      <c r="D94" s="58">
        <v>45757.333333333336</v>
      </c>
      <c r="E94" t="s">
        <v>5</v>
      </c>
      <c r="F94" t="s">
        <v>5</v>
      </c>
      <c r="G94">
        <v>1</v>
      </c>
      <c r="H94" t="s">
        <v>5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</v>
      </c>
      <c r="R94" t="s">
        <v>5</v>
      </c>
      <c r="S94">
        <v>0</v>
      </c>
      <c r="T94">
        <v>0</v>
      </c>
      <c r="U94">
        <v>0</v>
      </c>
      <c r="V94" s="59">
        <v>45777</v>
      </c>
    </row>
    <row r="95" spans="1:22" x14ac:dyDescent="0.35">
      <c r="A95" t="s">
        <v>202</v>
      </c>
      <c r="B95" s="58">
        <v>45743.333333333336</v>
      </c>
      <c r="C95" s="58">
        <v>45755.708333333336</v>
      </c>
      <c r="D95" s="58">
        <v>45743.333333333336</v>
      </c>
      <c r="E95" s="58">
        <v>45757.708333333336</v>
      </c>
      <c r="F95" t="s">
        <v>83</v>
      </c>
      <c r="G95">
        <v>1</v>
      </c>
      <c r="H95">
        <v>135</v>
      </c>
      <c r="J95">
        <v>1</v>
      </c>
      <c r="K95">
        <v>12.375</v>
      </c>
      <c r="L95">
        <v>14.375</v>
      </c>
      <c r="M95">
        <v>13365</v>
      </c>
      <c r="N95">
        <v>15525</v>
      </c>
      <c r="O95">
        <v>13365</v>
      </c>
      <c r="P95">
        <v>13365</v>
      </c>
      <c r="Q95">
        <v>0.86086956521739133</v>
      </c>
      <c r="R95">
        <v>1</v>
      </c>
      <c r="S95">
        <v>-2160</v>
      </c>
      <c r="T95">
        <v>0</v>
      </c>
      <c r="U95">
        <v>15525</v>
      </c>
      <c r="V95" s="59">
        <v>45777</v>
      </c>
    </row>
    <row r="96" spans="1:22" x14ac:dyDescent="0.35">
      <c r="A96" t="s">
        <v>204</v>
      </c>
      <c r="B96" s="58">
        <v>45756.333333333336</v>
      </c>
      <c r="C96" s="58">
        <v>45764.708333333336</v>
      </c>
      <c r="D96" s="58">
        <v>45757.333333333336</v>
      </c>
      <c r="E96" s="58">
        <v>45765.708333333336</v>
      </c>
      <c r="F96" t="s">
        <v>83</v>
      </c>
      <c r="G96">
        <v>1</v>
      </c>
      <c r="H96">
        <v>135</v>
      </c>
      <c r="J96">
        <v>1</v>
      </c>
      <c r="K96">
        <v>8.375</v>
      </c>
      <c r="L96">
        <v>8.375</v>
      </c>
      <c r="M96">
        <v>9045</v>
      </c>
      <c r="N96">
        <v>9045</v>
      </c>
      <c r="O96">
        <v>9045</v>
      </c>
      <c r="P96">
        <v>9045</v>
      </c>
      <c r="Q96">
        <v>1</v>
      </c>
      <c r="R96">
        <v>1</v>
      </c>
      <c r="S96">
        <v>0</v>
      </c>
      <c r="T96">
        <v>0</v>
      </c>
      <c r="U96">
        <v>9045</v>
      </c>
      <c r="V96" s="59">
        <v>45777</v>
      </c>
    </row>
    <row r="97" spans="1:22" x14ac:dyDescent="0.35">
      <c r="A97" t="s">
        <v>664</v>
      </c>
      <c r="B97" s="58">
        <v>45751.333333333336</v>
      </c>
      <c r="C97" s="58">
        <v>45757.708333333336</v>
      </c>
      <c r="D97" s="58">
        <v>45742.333333333336</v>
      </c>
      <c r="E97" s="58">
        <v>45758.708333333336</v>
      </c>
      <c r="F97" t="s">
        <v>5</v>
      </c>
      <c r="G97">
        <v>1</v>
      </c>
      <c r="H97" t="s">
        <v>5</v>
      </c>
      <c r="J97">
        <v>1</v>
      </c>
      <c r="K97">
        <v>6.375</v>
      </c>
      <c r="L97">
        <v>16.375</v>
      </c>
      <c r="M97">
        <v>0</v>
      </c>
      <c r="N97">
        <v>0</v>
      </c>
      <c r="O97">
        <v>0</v>
      </c>
      <c r="P97">
        <v>0</v>
      </c>
      <c r="Q97" t="s">
        <v>5</v>
      </c>
      <c r="R97" t="s">
        <v>5</v>
      </c>
      <c r="S97">
        <v>0</v>
      </c>
      <c r="T97">
        <v>0</v>
      </c>
      <c r="U97">
        <v>0</v>
      </c>
      <c r="V97" s="59">
        <v>45777</v>
      </c>
    </row>
    <row r="98" spans="1:22" x14ac:dyDescent="0.35">
      <c r="A98" t="s">
        <v>236</v>
      </c>
      <c r="B98" s="58">
        <v>45758.333333333336</v>
      </c>
      <c r="C98" t="s">
        <v>5</v>
      </c>
      <c r="D98" s="58">
        <v>45758.333333333336</v>
      </c>
      <c r="E98" t="s">
        <v>5</v>
      </c>
      <c r="F98" t="s">
        <v>5</v>
      </c>
      <c r="G98">
        <v>1</v>
      </c>
      <c r="H98" t="s">
        <v>5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</v>
      </c>
      <c r="R98" t="s">
        <v>5</v>
      </c>
      <c r="S98">
        <v>0</v>
      </c>
      <c r="T98">
        <v>0</v>
      </c>
      <c r="U98">
        <v>0</v>
      </c>
      <c r="V98" s="59">
        <v>45777</v>
      </c>
    </row>
    <row r="99" spans="1:22" x14ac:dyDescent="0.35">
      <c r="A99" t="s">
        <v>61</v>
      </c>
      <c r="B99" s="58">
        <v>45798.333333333336</v>
      </c>
      <c r="C99" s="58">
        <v>45807.708333333336</v>
      </c>
      <c r="D99" s="59">
        <v>45798</v>
      </c>
      <c r="E99" s="58">
        <v>45812.333333333336</v>
      </c>
      <c r="F99" t="s">
        <v>47</v>
      </c>
      <c r="G99">
        <v>1</v>
      </c>
      <c r="H99">
        <v>145</v>
      </c>
      <c r="J99">
        <v>1</v>
      </c>
      <c r="K99">
        <v>9.375</v>
      </c>
      <c r="L99">
        <v>14.333333333299379</v>
      </c>
      <c r="M99">
        <v>10875</v>
      </c>
      <c r="N99">
        <v>16626.666666627279</v>
      </c>
      <c r="O99">
        <v>10875</v>
      </c>
      <c r="P99">
        <v>10875</v>
      </c>
      <c r="Q99">
        <v>0.65406976744340994</v>
      </c>
      <c r="R99">
        <v>1</v>
      </c>
      <c r="S99">
        <v>-5751.6666666272795</v>
      </c>
      <c r="T99">
        <v>0</v>
      </c>
      <c r="U99">
        <v>16626.666666627279</v>
      </c>
      <c r="V99" s="59">
        <v>45808</v>
      </c>
    </row>
    <row r="100" spans="1:22" x14ac:dyDescent="0.35">
      <c r="A100" t="s">
        <v>103</v>
      </c>
      <c r="B100" s="58">
        <v>45748.333333333336</v>
      </c>
      <c r="C100" s="58">
        <v>45778.708333333336</v>
      </c>
      <c r="D100" s="58">
        <v>45748.333333333336</v>
      </c>
      <c r="E100" s="58">
        <v>45778.708333333336</v>
      </c>
      <c r="F100" t="s">
        <v>55</v>
      </c>
      <c r="G100">
        <v>1</v>
      </c>
      <c r="H100">
        <v>85</v>
      </c>
      <c r="J100">
        <v>1</v>
      </c>
      <c r="K100">
        <v>30.375</v>
      </c>
      <c r="L100">
        <v>30.375</v>
      </c>
      <c r="M100">
        <v>20655</v>
      </c>
      <c r="N100">
        <v>20655</v>
      </c>
      <c r="O100">
        <v>20655</v>
      </c>
      <c r="P100">
        <v>20655</v>
      </c>
      <c r="Q100">
        <v>1</v>
      </c>
      <c r="R100">
        <v>1</v>
      </c>
      <c r="S100">
        <v>0</v>
      </c>
      <c r="T100">
        <v>0</v>
      </c>
      <c r="U100">
        <v>20655</v>
      </c>
      <c r="V100" s="59">
        <v>45808</v>
      </c>
    </row>
    <row r="101" spans="1:22" x14ac:dyDescent="0.35">
      <c r="A101" t="s">
        <v>105</v>
      </c>
      <c r="B101" s="58">
        <v>45779.333333333336</v>
      </c>
      <c r="C101" s="58">
        <v>45797.708333333336</v>
      </c>
      <c r="D101" s="58">
        <v>45779.333333333336</v>
      </c>
      <c r="E101" s="58">
        <v>45797.708333333336</v>
      </c>
      <c r="F101" t="s">
        <v>55</v>
      </c>
      <c r="G101">
        <v>1</v>
      </c>
      <c r="H101">
        <v>85</v>
      </c>
      <c r="J101">
        <v>1</v>
      </c>
      <c r="K101">
        <v>18.375</v>
      </c>
      <c r="L101">
        <v>18.375</v>
      </c>
      <c r="M101">
        <v>12495</v>
      </c>
      <c r="N101">
        <v>12495</v>
      </c>
      <c r="O101">
        <v>12495</v>
      </c>
      <c r="P101">
        <v>12495</v>
      </c>
      <c r="Q101">
        <v>1</v>
      </c>
      <c r="R101">
        <v>1</v>
      </c>
      <c r="S101">
        <v>0</v>
      </c>
      <c r="T101">
        <v>0</v>
      </c>
      <c r="U101">
        <v>12495</v>
      </c>
      <c r="V101" s="59">
        <v>45808</v>
      </c>
    </row>
    <row r="102" spans="1:22" x14ac:dyDescent="0.35">
      <c r="A102" t="s">
        <v>470</v>
      </c>
      <c r="B102" s="58">
        <v>45758.333333333336</v>
      </c>
      <c r="C102" s="58">
        <v>45783.708333333336</v>
      </c>
      <c r="D102" s="58">
        <v>45758.333333333336</v>
      </c>
      <c r="E102" s="58">
        <v>45783.708333333336</v>
      </c>
      <c r="F102" t="s">
        <v>129</v>
      </c>
      <c r="G102">
        <v>1</v>
      </c>
      <c r="H102">
        <v>135</v>
      </c>
      <c r="J102">
        <v>1</v>
      </c>
      <c r="K102">
        <v>25.375</v>
      </c>
      <c r="L102">
        <v>25.375</v>
      </c>
      <c r="M102">
        <v>27405</v>
      </c>
      <c r="N102">
        <v>27405</v>
      </c>
      <c r="O102">
        <v>27405</v>
      </c>
      <c r="P102">
        <v>27405</v>
      </c>
      <c r="Q102">
        <v>1</v>
      </c>
      <c r="R102">
        <v>1</v>
      </c>
      <c r="S102">
        <v>0</v>
      </c>
      <c r="T102">
        <v>0</v>
      </c>
      <c r="U102">
        <v>27405</v>
      </c>
      <c r="V102" s="59">
        <v>45808</v>
      </c>
    </row>
    <row r="103" spans="1:22" x14ac:dyDescent="0.35">
      <c r="A103" t="s">
        <v>653</v>
      </c>
      <c r="B103" t="s">
        <v>5</v>
      </c>
      <c r="C103" s="58">
        <v>45814.708333333336</v>
      </c>
      <c r="D103" t="s">
        <v>5</v>
      </c>
      <c r="E103" s="58">
        <v>45817.708333333336</v>
      </c>
      <c r="F103" t="s">
        <v>5</v>
      </c>
      <c r="G103">
        <v>1</v>
      </c>
      <c r="H103" t="s">
        <v>5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</v>
      </c>
      <c r="R103" t="s">
        <v>5</v>
      </c>
      <c r="S103">
        <v>0</v>
      </c>
      <c r="T103">
        <v>0</v>
      </c>
      <c r="U103">
        <v>0</v>
      </c>
      <c r="V103" s="59">
        <v>45838</v>
      </c>
    </row>
    <row r="104" spans="1:22" x14ac:dyDescent="0.35">
      <c r="A104" t="s">
        <v>107</v>
      </c>
      <c r="B104" s="58">
        <v>45798.333333333336</v>
      </c>
      <c r="C104" s="58">
        <v>45813.708333333336</v>
      </c>
      <c r="D104" s="58">
        <v>45798.333333333336</v>
      </c>
      <c r="E104" s="58">
        <v>45813.708333333336</v>
      </c>
      <c r="F104" t="s">
        <v>83</v>
      </c>
      <c r="G104">
        <v>1</v>
      </c>
      <c r="H104">
        <v>135</v>
      </c>
      <c r="J104">
        <v>1</v>
      </c>
      <c r="K104">
        <v>15.375</v>
      </c>
      <c r="L104">
        <v>15.375</v>
      </c>
      <c r="M104">
        <v>16605</v>
      </c>
      <c r="N104">
        <v>16605</v>
      </c>
      <c r="O104">
        <v>16605</v>
      </c>
      <c r="P104">
        <v>16605</v>
      </c>
      <c r="Q104">
        <v>1</v>
      </c>
      <c r="R104">
        <v>1</v>
      </c>
      <c r="S104">
        <v>0</v>
      </c>
      <c r="T104">
        <v>0</v>
      </c>
      <c r="U104">
        <v>16605</v>
      </c>
      <c r="V104" s="59">
        <v>45838</v>
      </c>
    </row>
    <row r="105" spans="1:22" x14ac:dyDescent="0.35">
      <c r="A105" t="s">
        <v>109</v>
      </c>
      <c r="B105" t="s">
        <v>5</v>
      </c>
      <c r="C105" s="58">
        <v>45814.708333333336</v>
      </c>
      <c r="D105" t="s">
        <v>5</v>
      </c>
      <c r="E105" s="58">
        <v>45814.708333333336</v>
      </c>
      <c r="F105" t="s">
        <v>5</v>
      </c>
      <c r="G105">
        <v>1</v>
      </c>
      <c r="H105" t="s">
        <v>5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5</v>
      </c>
      <c r="R105" t="s">
        <v>5</v>
      </c>
      <c r="S105">
        <v>0</v>
      </c>
      <c r="T105">
        <v>0</v>
      </c>
      <c r="U105">
        <v>0</v>
      </c>
      <c r="V105" s="59">
        <v>45838</v>
      </c>
    </row>
    <row r="106" spans="1:22" x14ac:dyDescent="0.35">
      <c r="A106" t="s">
        <v>238</v>
      </c>
      <c r="B106" s="58">
        <v>45784.333333333336</v>
      </c>
      <c r="C106" s="58">
        <v>45827.708333333336</v>
      </c>
      <c r="D106" s="58">
        <v>45784.333333333336</v>
      </c>
      <c r="E106" s="58">
        <v>45827.708333333336</v>
      </c>
      <c r="F106" t="s">
        <v>213</v>
      </c>
      <c r="G106">
        <v>1</v>
      </c>
      <c r="H106">
        <v>85</v>
      </c>
      <c r="J106">
        <v>1</v>
      </c>
      <c r="K106">
        <v>43.375</v>
      </c>
      <c r="L106">
        <v>43.375</v>
      </c>
      <c r="M106">
        <v>29495</v>
      </c>
      <c r="N106">
        <v>29495</v>
      </c>
      <c r="O106">
        <v>29495</v>
      </c>
      <c r="P106">
        <v>29495</v>
      </c>
      <c r="Q106">
        <v>1</v>
      </c>
      <c r="R106">
        <v>1</v>
      </c>
      <c r="S106">
        <v>0</v>
      </c>
      <c r="T106">
        <v>0</v>
      </c>
      <c r="U106">
        <v>29495</v>
      </c>
      <c r="V106" s="59">
        <v>45838</v>
      </c>
    </row>
    <row r="107" spans="1:22" x14ac:dyDescent="0.35">
      <c r="A107" t="s">
        <v>251</v>
      </c>
      <c r="B107" s="58">
        <v>45814.333333333336</v>
      </c>
      <c r="C107" s="58">
        <v>45833.708333333336</v>
      </c>
      <c r="D107" s="58">
        <v>45814.333333333336</v>
      </c>
      <c r="E107" s="58">
        <v>45833.708333333336</v>
      </c>
      <c r="F107" t="s">
        <v>252</v>
      </c>
      <c r="G107">
        <v>1</v>
      </c>
      <c r="H107">
        <v>85</v>
      </c>
      <c r="J107">
        <v>1</v>
      </c>
      <c r="K107">
        <v>19.375</v>
      </c>
      <c r="L107">
        <v>19.375</v>
      </c>
      <c r="M107">
        <v>13175</v>
      </c>
      <c r="N107">
        <v>13175</v>
      </c>
      <c r="O107">
        <v>13175</v>
      </c>
      <c r="P107">
        <v>13175</v>
      </c>
      <c r="Q107">
        <v>1</v>
      </c>
      <c r="R107">
        <v>1</v>
      </c>
      <c r="S107">
        <v>0</v>
      </c>
      <c r="T107">
        <v>0</v>
      </c>
      <c r="U107">
        <v>13175</v>
      </c>
      <c r="V107" s="59">
        <v>45838</v>
      </c>
    </row>
    <row r="108" spans="1:22" x14ac:dyDescent="0.35">
      <c r="A108" t="s">
        <v>254</v>
      </c>
      <c r="B108" s="58">
        <v>45834.333333333336</v>
      </c>
      <c r="C108" t="s">
        <v>5</v>
      </c>
      <c r="D108" s="58">
        <v>45834.333333333336</v>
      </c>
      <c r="E108" t="s">
        <v>5</v>
      </c>
      <c r="F108" t="s">
        <v>5</v>
      </c>
      <c r="G108">
        <v>1</v>
      </c>
      <c r="H108" t="s">
        <v>5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</v>
      </c>
      <c r="R108" t="s">
        <v>5</v>
      </c>
      <c r="S108">
        <v>0</v>
      </c>
      <c r="T108">
        <v>0</v>
      </c>
      <c r="U108">
        <v>0</v>
      </c>
      <c r="V108" s="59">
        <v>45838</v>
      </c>
    </row>
    <row r="109" spans="1:22" x14ac:dyDescent="0.35">
      <c r="A109" t="s">
        <v>260</v>
      </c>
      <c r="B109" s="58">
        <v>45814.333333333336</v>
      </c>
      <c r="C109" s="58">
        <v>45834.708333333336</v>
      </c>
      <c r="D109" s="58">
        <v>45814.333333333336</v>
      </c>
      <c r="E109" s="58">
        <v>45834.708333333336</v>
      </c>
      <c r="F109" t="s">
        <v>252</v>
      </c>
      <c r="G109">
        <v>1</v>
      </c>
      <c r="H109">
        <v>85</v>
      </c>
      <c r="J109">
        <v>1</v>
      </c>
      <c r="K109">
        <v>20.375</v>
      </c>
      <c r="L109">
        <v>20.375</v>
      </c>
      <c r="M109">
        <v>13855</v>
      </c>
      <c r="N109">
        <v>13855</v>
      </c>
      <c r="O109">
        <v>13855</v>
      </c>
      <c r="P109">
        <v>13855</v>
      </c>
      <c r="Q109">
        <v>1</v>
      </c>
      <c r="R109">
        <v>1</v>
      </c>
      <c r="S109">
        <v>0</v>
      </c>
      <c r="T109">
        <v>0</v>
      </c>
      <c r="U109">
        <v>13855</v>
      </c>
      <c r="V109" s="59">
        <v>45838</v>
      </c>
    </row>
    <row r="110" spans="1:22" x14ac:dyDescent="0.35">
      <c r="A110" t="s">
        <v>262</v>
      </c>
      <c r="B110" s="58">
        <v>45835.333333333336</v>
      </c>
      <c r="C110" s="58">
        <v>45835.708333333336</v>
      </c>
      <c r="D110" s="58">
        <v>45835.333333333336</v>
      </c>
      <c r="E110" t="s">
        <v>5</v>
      </c>
      <c r="F110" t="s">
        <v>252</v>
      </c>
      <c r="G110">
        <v>0</v>
      </c>
      <c r="H110">
        <v>85</v>
      </c>
      <c r="J110">
        <v>1</v>
      </c>
      <c r="K110">
        <v>0.375</v>
      </c>
      <c r="L110">
        <v>0</v>
      </c>
      <c r="M110">
        <v>255</v>
      </c>
      <c r="N110">
        <v>0</v>
      </c>
      <c r="O110">
        <v>255</v>
      </c>
      <c r="P110">
        <v>0</v>
      </c>
      <c r="Q110" t="s">
        <v>5</v>
      </c>
      <c r="R110">
        <v>0</v>
      </c>
      <c r="S110">
        <v>0</v>
      </c>
      <c r="T110">
        <v>-255</v>
      </c>
      <c r="U110">
        <v>255</v>
      </c>
      <c r="V110" s="59">
        <v>45838</v>
      </c>
    </row>
    <row r="111" spans="1:22" x14ac:dyDescent="0.35">
      <c r="A111" t="s">
        <v>264</v>
      </c>
      <c r="B111" s="58">
        <v>45814.333333333336</v>
      </c>
      <c r="C111" s="58">
        <v>45832.708333333336</v>
      </c>
      <c r="D111" s="58">
        <v>45814.333333333336</v>
      </c>
      <c r="E111" s="58">
        <v>45832.708333333336</v>
      </c>
      <c r="F111" t="s">
        <v>252</v>
      </c>
      <c r="G111">
        <v>1</v>
      </c>
      <c r="H111">
        <v>85</v>
      </c>
      <c r="J111">
        <v>1</v>
      </c>
      <c r="K111">
        <v>18.375</v>
      </c>
      <c r="L111">
        <v>18.375</v>
      </c>
      <c r="M111">
        <v>12495</v>
      </c>
      <c r="N111">
        <v>12495</v>
      </c>
      <c r="O111">
        <v>12495</v>
      </c>
      <c r="P111">
        <v>12495</v>
      </c>
      <c r="Q111">
        <v>1</v>
      </c>
      <c r="R111">
        <v>1</v>
      </c>
      <c r="S111">
        <v>0</v>
      </c>
      <c r="T111">
        <v>0</v>
      </c>
      <c r="U111">
        <v>12495</v>
      </c>
      <c r="V111" s="59">
        <v>45838</v>
      </c>
    </row>
    <row r="112" spans="1:22" x14ac:dyDescent="0.35">
      <c r="A112" t="s">
        <v>266</v>
      </c>
      <c r="B112" s="58">
        <v>45833.333333333336</v>
      </c>
      <c r="C112" t="s">
        <v>5</v>
      </c>
      <c r="D112" s="58">
        <v>45833.333333333336</v>
      </c>
      <c r="E112" t="s">
        <v>5</v>
      </c>
      <c r="F112" t="s">
        <v>5</v>
      </c>
      <c r="G112">
        <v>1</v>
      </c>
      <c r="H112" t="s">
        <v>5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</v>
      </c>
      <c r="R112" t="s">
        <v>5</v>
      </c>
      <c r="S112">
        <v>0</v>
      </c>
      <c r="T112">
        <v>0</v>
      </c>
      <c r="U112">
        <v>0</v>
      </c>
      <c r="V112" s="59">
        <v>45838</v>
      </c>
    </row>
    <row r="113" spans="1:22" x14ac:dyDescent="0.35">
      <c r="A113" t="s">
        <v>256</v>
      </c>
      <c r="B113" s="58">
        <v>45814.333333333336</v>
      </c>
      <c r="C113" s="58">
        <v>45839.708333333336</v>
      </c>
      <c r="D113" s="58">
        <v>45814.333333333336</v>
      </c>
      <c r="E113" s="58">
        <v>45839.708333333336</v>
      </c>
      <c r="F113" t="s">
        <v>252</v>
      </c>
      <c r="G113">
        <v>1</v>
      </c>
      <c r="H113">
        <v>85</v>
      </c>
      <c r="J113">
        <v>1</v>
      </c>
      <c r="K113">
        <v>25.375</v>
      </c>
      <c r="L113">
        <v>25.375</v>
      </c>
      <c r="M113">
        <v>17255</v>
      </c>
      <c r="N113">
        <v>17255</v>
      </c>
      <c r="O113">
        <v>17255</v>
      </c>
      <c r="P113">
        <v>17255</v>
      </c>
      <c r="Q113">
        <v>1</v>
      </c>
      <c r="R113">
        <v>1</v>
      </c>
      <c r="S113">
        <v>0</v>
      </c>
      <c r="T113">
        <v>0</v>
      </c>
      <c r="U113">
        <v>17255</v>
      </c>
      <c r="V113" s="59">
        <v>45869</v>
      </c>
    </row>
    <row r="114" spans="1:22" x14ac:dyDescent="0.35">
      <c r="A114" t="s">
        <v>258</v>
      </c>
      <c r="B114" s="58">
        <v>45840.333333333336</v>
      </c>
      <c r="C114" t="s">
        <v>5</v>
      </c>
      <c r="D114" s="58">
        <v>45840.333333333336</v>
      </c>
      <c r="E114" t="s">
        <v>5</v>
      </c>
      <c r="F114" t="s">
        <v>5</v>
      </c>
      <c r="G114">
        <v>1</v>
      </c>
      <c r="H114" t="s">
        <v>5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5</v>
      </c>
      <c r="R114" t="s">
        <v>5</v>
      </c>
      <c r="S114">
        <v>0</v>
      </c>
      <c r="T114">
        <v>0</v>
      </c>
      <c r="U114">
        <v>0</v>
      </c>
      <c r="V114" s="59">
        <v>45869</v>
      </c>
    </row>
    <row r="115" spans="1:22" x14ac:dyDescent="0.35">
      <c r="A115" t="s">
        <v>268</v>
      </c>
      <c r="B115" s="58">
        <v>45834.333333333336</v>
      </c>
      <c r="C115" s="58">
        <v>45848.708333333336</v>
      </c>
      <c r="D115" s="58">
        <v>45834.333333333336</v>
      </c>
      <c r="E115" s="58">
        <v>45855.708333333336</v>
      </c>
      <c r="F115" t="s">
        <v>269</v>
      </c>
      <c r="G115">
        <v>1</v>
      </c>
      <c r="H115">
        <v>120</v>
      </c>
      <c r="J115">
        <v>1</v>
      </c>
      <c r="K115">
        <v>14.375</v>
      </c>
      <c r="L115">
        <v>21.375</v>
      </c>
      <c r="M115">
        <v>13800</v>
      </c>
      <c r="N115">
        <v>20520</v>
      </c>
      <c r="O115">
        <v>13800</v>
      </c>
      <c r="P115">
        <v>13800</v>
      </c>
      <c r="Q115">
        <v>0.67251461988304095</v>
      </c>
      <c r="R115">
        <v>1</v>
      </c>
      <c r="S115">
        <v>-6720</v>
      </c>
      <c r="T115">
        <v>0</v>
      </c>
      <c r="U115">
        <v>20520</v>
      </c>
      <c r="V115" s="59">
        <v>45869</v>
      </c>
    </row>
    <row r="116" spans="1:22" x14ac:dyDescent="0.35">
      <c r="A116" t="s">
        <v>271</v>
      </c>
      <c r="B116" s="58">
        <v>45849.333333333336</v>
      </c>
      <c r="C116" s="58">
        <v>45860.708333333336</v>
      </c>
      <c r="D116" s="58">
        <v>45849.333333333336</v>
      </c>
      <c r="E116" s="58">
        <v>45862.708333333336</v>
      </c>
      <c r="F116" t="s">
        <v>269</v>
      </c>
      <c r="G116">
        <v>1</v>
      </c>
      <c r="H116">
        <v>120</v>
      </c>
      <c r="J116">
        <v>1</v>
      </c>
      <c r="K116">
        <v>11.375</v>
      </c>
      <c r="L116">
        <v>13.375</v>
      </c>
      <c r="M116">
        <v>10920</v>
      </c>
      <c r="N116">
        <v>12840</v>
      </c>
      <c r="O116">
        <v>10920</v>
      </c>
      <c r="P116">
        <v>10920</v>
      </c>
      <c r="Q116">
        <v>0.85046728971962615</v>
      </c>
      <c r="R116">
        <v>1</v>
      </c>
      <c r="S116">
        <v>-1920</v>
      </c>
      <c r="T116">
        <v>0</v>
      </c>
      <c r="U116">
        <v>12840</v>
      </c>
      <c r="V116" s="59">
        <v>45869</v>
      </c>
    </row>
    <row r="117" spans="1:22" x14ac:dyDescent="0.35">
      <c r="A117" t="s">
        <v>666</v>
      </c>
      <c r="B117" s="58">
        <v>45849.333333333336</v>
      </c>
      <c r="C117" s="58">
        <v>45853.708333333336</v>
      </c>
      <c r="D117" s="58">
        <v>45849.333333333336</v>
      </c>
      <c r="E117" s="58">
        <v>45856.708333333336</v>
      </c>
      <c r="F117" t="s">
        <v>269</v>
      </c>
      <c r="G117">
        <v>1</v>
      </c>
      <c r="H117">
        <v>120</v>
      </c>
      <c r="J117">
        <v>1</v>
      </c>
      <c r="K117">
        <v>4.375</v>
      </c>
      <c r="L117">
        <v>7.375</v>
      </c>
      <c r="M117">
        <v>4200</v>
      </c>
      <c r="N117">
        <v>7080</v>
      </c>
      <c r="O117">
        <v>4200</v>
      </c>
      <c r="P117">
        <v>4200</v>
      </c>
      <c r="Q117">
        <v>0.59322033898305082</v>
      </c>
      <c r="R117">
        <v>1</v>
      </c>
      <c r="S117">
        <v>-2880</v>
      </c>
      <c r="T117">
        <v>0</v>
      </c>
      <c r="U117">
        <v>7080</v>
      </c>
      <c r="V117" s="59">
        <v>45869</v>
      </c>
    </row>
    <row r="118" spans="1:22" x14ac:dyDescent="0.35">
      <c r="A118" t="s">
        <v>275</v>
      </c>
      <c r="B118" s="58">
        <v>45854.333333333336</v>
      </c>
      <c r="C118" s="58">
        <v>45860.708333333336</v>
      </c>
      <c r="D118" s="58">
        <v>45856.333333333336</v>
      </c>
      <c r="E118" s="58">
        <v>45866.708333333336</v>
      </c>
      <c r="F118" t="s">
        <v>269</v>
      </c>
      <c r="G118">
        <v>1</v>
      </c>
      <c r="H118">
        <v>120</v>
      </c>
      <c r="J118">
        <v>1</v>
      </c>
      <c r="K118">
        <v>6.375</v>
      </c>
      <c r="L118">
        <v>10.375</v>
      </c>
      <c r="M118">
        <v>6120</v>
      </c>
      <c r="N118">
        <v>9960</v>
      </c>
      <c r="O118">
        <v>6120</v>
      </c>
      <c r="P118">
        <v>6120</v>
      </c>
      <c r="Q118">
        <v>0.61445783132530118</v>
      </c>
      <c r="R118">
        <v>1</v>
      </c>
      <c r="S118">
        <v>-3840</v>
      </c>
      <c r="T118">
        <v>0</v>
      </c>
      <c r="U118">
        <v>9960</v>
      </c>
      <c r="V118" s="59">
        <v>45869</v>
      </c>
    </row>
    <row r="119" spans="1:22" x14ac:dyDescent="0.35">
      <c r="A119" t="s">
        <v>380</v>
      </c>
      <c r="B119" s="58">
        <v>45833.333333333336</v>
      </c>
      <c r="C119" s="58">
        <v>45842.708333333336</v>
      </c>
      <c r="D119" s="58">
        <v>45833.333333333336</v>
      </c>
      <c r="E119" s="59">
        <v>45842</v>
      </c>
      <c r="F119" t="s">
        <v>381</v>
      </c>
      <c r="G119">
        <v>1</v>
      </c>
      <c r="H119">
        <v>140</v>
      </c>
      <c r="J119">
        <v>1</v>
      </c>
      <c r="K119">
        <v>9.375</v>
      </c>
      <c r="L119">
        <v>8.6666666667006211</v>
      </c>
      <c r="M119">
        <v>10500</v>
      </c>
      <c r="N119">
        <v>9706.6666667046957</v>
      </c>
      <c r="O119">
        <v>10500</v>
      </c>
      <c r="P119">
        <v>10500</v>
      </c>
      <c r="Q119">
        <v>1.0817307692265312</v>
      </c>
      <c r="R119">
        <v>1</v>
      </c>
      <c r="S119">
        <v>793.33333329530433</v>
      </c>
      <c r="T119">
        <v>0</v>
      </c>
      <c r="U119">
        <v>9706.6666667046957</v>
      </c>
      <c r="V119" s="59">
        <v>45869</v>
      </c>
    </row>
    <row r="120" spans="1:22" x14ac:dyDescent="0.35">
      <c r="A120" t="s">
        <v>673</v>
      </c>
      <c r="B120" s="58">
        <v>45845.333333333336</v>
      </c>
      <c r="C120" s="58">
        <v>45853.708333333336</v>
      </c>
      <c r="D120" s="58">
        <v>45845.333333333336</v>
      </c>
      <c r="E120" s="58">
        <v>45853.708333333336</v>
      </c>
      <c r="F120" t="s">
        <v>384</v>
      </c>
      <c r="G120">
        <v>1</v>
      </c>
      <c r="H120">
        <v>125</v>
      </c>
      <c r="J120">
        <v>1</v>
      </c>
      <c r="K120">
        <v>8.375</v>
      </c>
      <c r="L120">
        <v>8.375</v>
      </c>
      <c r="M120">
        <v>8375</v>
      </c>
      <c r="N120">
        <v>8375</v>
      </c>
      <c r="O120">
        <v>8375</v>
      </c>
      <c r="P120">
        <v>8375</v>
      </c>
      <c r="Q120">
        <v>1</v>
      </c>
      <c r="R120">
        <v>1</v>
      </c>
      <c r="S120">
        <v>0</v>
      </c>
      <c r="T120">
        <v>0</v>
      </c>
      <c r="U120">
        <v>8375</v>
      </c>
      <c r="V120" s="59">
        <v>45869</v>
      </c>
    </row>
    <row r="121" spans="1:22" x14ac:dyDescent="0.35">
      <c r="A121" t="s">
        <v>277</v>
      </c>
      <c r="B121" s="58">
        <v>45861.333333333336</v>
      </c>
      <c r="C121" s="58">
        <v>45876.708333333336</v>
      </c>
      <c r="D121" s="58">
        <v>45866.333333333336</v>
      </c>
      <c r="E121" s="58">
        <v>45890.708333333336</v>
      </c>
      <c r="F121" t="s">
        <v>278</v>
      </c>
      <c r="G121">
        <v>1</v>
      </c>
      <c r="H121">
        <v>135</v>
      </c>
      <c r="J121">
        <v>3</v>
      </c>
      <c r="K121">
        <v>15.375</v>
      </c>
      <c r="L121">
        <v>24.375</v>
      </c>
      <c r="M121">
        <v>49815</v>
      </c>
      <c r="N121">
        <v>78975</v>
      </c>
      <c r="O121">
        <v>49815</v>
      </c>
      <c r="P121">
        <v>49815</v>
      </c>
      <c r="Q121">
        <v>0.63076923076923075</v>
      </c>
      <c r="R121">
        <v>1</v>
      </c>
      <c r="S121">
        <v>-29160</v>
      </c>
      <c r="T121">
        <v>0</v>
      </c>
      <c r="U121">
        <v>78975</v>
      </c>
      <c r="V121" s="59">
        <v>45900</v>
      </c>
    </row>
    <row r="122" spans="1:22" x14ac:dyDescent="0.35">
      <c r="A122" t="s">
        <v>282</v>
      </c>
      <c r="B122" s="58">
        <v>45877.333333333336</v>
      </c>
      <c r="C122" s="58">
        <v>45895.708333333336</v>
      </c>
      <c r="D122" s="58">
        <v>45919.333333333336</v>
      </c>
      <c r="E122" s="58">
        <v>45937.708333333336</v>
      </c>
      <c r="F122" t="s">
        <v>278</v>
      </c>
      <c r="G122">
        <v>1</v>
      </c>
      <c r="H122">
        <v>135</v>
      </c>
      <c r="J122">
        <v>3</v>
      </c>
      <c r="K122">
        <v>18.375</v>
      </c>
      <c r="L122">
        <v>18.375</v>
      </c>
      <c r="M122">
        <v>59535</v>
      </c>
      <c r="N122">
        <v>59535</v>
      </c>
      <c r="O122">
        <v>59535</v>
      </c>
      <c r="P122">
        <v>59535</v>
      </c>
      <c r="Q122">
        <v>1</v>
      </c>
      <c r="R122">
        <v>1</v>
      </c>
      <c r="S122">
        <v>0</v>
      </c>
      <c r="T122">
        <v>0</v>
      </c>
      <c r="U122">
        <v>59535</v>
      </c>
      <c r="V122" s="59">
        <v>45900</v>
      </c>
    </row>
    <row r="123" spans="1:22" x14ac:dyDescent="0.35">
      <c r="A123" t="s">
        <v>327</v>
      </c>
      <c r="B123" s="58">
        <v>45877.333333333336</v>
      </c>
      <c r="C123" s="58">
        <v>45887.708333333336</v>
      </c>
      <c r="D123" s="58">
        <v>45890.333333333336</v>
      </c>
      <c r="E123" s="58">
        <v>45898.708333333336</v>
      </c>
      <c r="F123" t="s">
        <v>328</v>
      </c>
      <c r="G123">
        <v>1</v>
      </c>
      <c r="H123">
        <v>145</v>
      </c>
      <c r="J123">
        <v>1</v>
      </c>
      <c r="K123">
        <v>10.375</v>
      </c>
      <c r="L123">
        <v>8.375</v>
      </c>
      <c r="M123">
        <v>12035</v>
      </c>
      <c r="N123">
        <v>9715</v>
      </c>
      <c r="O123">
        <v>12035</v>
      </c>
      <c r="P123">
        <v>12035</v>
      </c>
      <c r="Q123">
        <v>1.2388059701492538</v>
      </c>
      <c r="R123">
        <v>1</v>
      </c>
      <c r="S123">
        <v>2320</v>
      </c>
      <c r="T123">
        <v>0</v>
      </c>
      <c r="U123">
        <v>9715</v>
      </c>
      <c r="V123" s="59">
        <v>45900</v>
      </c>
    </row>
    <row r="124" spans="1:22" x14ac:dyDescent="0.35">
      <c r="A124" t="s">
        <v>386</v>
      </c>
      <c r="B124" s="58">
        <v>45854.333333333336</v>
      </c>
      <c r="C124" s="58">
        <v>45873.708333333336</v>
      </c>
      <c r="D124" s="58">
        <v>45854.333333333336</v>
      </c>
      <c r="E124" s="58">
        <v>45873.708333333336</v>
      </c>
      <c r="F124" t="s">
        <v>384</v>
      </c>
      <c r="G124">
        <v>1</v>
      </c>
      <c r="H124">
        <v>125</v>
      </c>
      <c r="J124">
        <v>4</v>
      </c>
      <c r="K124">
        <v>19.375</v>
      </c>
      <c r="L124">
        <v>19.375</v>
      </c>
      <c r="M124">
        <v>77500</v>
      </c>
      <c r="N124">
        <v>77500</v>
      </c>
      <c r="O124">
        <v>77500</v>
      </c>
      <c r="P124">
        <v>77500</v>
      </c>
      <c r="Q124">
        <v>1</v>
      </c>
      <c r="R124">
        <v>1</v>
      </c>
      <c r="S124">
        <v>0</v>
      </c>
      <c r="T124">
        <v>0</v>
      </c>
      <c r="U124">
        <v>77500</v>
      </c>
      <c r="V124" s="59">
        <v>45900</v>
      </c>
    </row>
    <row r="125" spans="1:22" x14ac:dyDescent="0.35">
      <c r="A125" t="s">
        <v>388</v>
      </c>
      <c r="B125" s="58">
        <v>45874.333333333336</v>
      </c>
      <c r="C125" s="58">
        <v>45888.708333333336</v>
      </c>
      <c r="D125" s="58">
        <v>45874.333333333336</v>
      </c>
      <c r="E125" s="58">
        <v>45888.708333333336</v>
      </c>
      <c r="F125" t="s">
        <v>384</v>
      </c>
      <c r="G125">
        <v>1</v>
      </c>
      <c r="H125">
        <v>125</v>
      </c>
      <c r="J125">
        <v>1</v>
      </c>
      <c r="K125">
        <v>14.375</v>
      </c>
      <c r="L125">
        <v>14.375</v>
      </c>
      <c r="M125">
        <v>14375</v>
      </c>
      <c r="N125">
        <v>14375</v>
      </c>
      <c r="O125">
        <v>14375</v>
      </c>
      <c r="P125">
        <v>14375</v>
      </c>
      <c r="Q125">
        <v>1</v>
      </c>
      <c r="R125">
        <v>1</v>
      </c>
      <c r="S125">
        <v>0</v>
      </c>
      <c r="T125">
        <v>0</v>
      </c>
      <c r="U125">
        <v>14375</v>
      </c>
      <c r="V125" s="59">
        <v>45900</v>
      </c>
    </row>
    <row r="126" spans="1:22" x14ac:dyDescent="0.35">
      <c r="A126" t="s">
        <v>206</v>
      </c>
      <c r="B126" s="58">
        <v>45765.333333333336</v>
      </c>
      <c r="C126" s="58">
        <v>45916.708333333336</v>
      </c>
      <c r="D126" s="58">
        <v>45765.333333333336</v>
      </c>
      <c r="E126" s="58">
        <v>45916.708333333336</v>
      </c>
      <c r="F126" t="s">
        <v>207</v>
      </c>
      <c r="G126">
        <v>1</v>
      </c>
      <c r="H126" t="s">
        <v>5</v>
      </c>
      <c r="I126">
        <v>62000000</v>
      </c>
      <c r="J126">
        <v>1</v>
      </c>
      <c r="K126">
        <v>151.375</v>
      </c>
      <c r="L126">
        <v>151.375</v>
      </c>
      <c r="M126">
        <v>62000000</v>
      </c>
      <c r="N126">
        <v>62000000</v>
      </c>
      <c r="O126">
        <v>62000000</v>
      </c>
      <c r="P126">
        <v>62000000</v>
      </c>
      <c r="Q126">
        <v>1</v>
      </c>
      <c r="R126">
        <v>1</v>
      </c>
      <c r="S126">
        <v>0</v>
      </c>
      <c r="T126">
        <v>0</v>
      </c>
      <c r="U126">
        <v>62000000</v>
      </c>
      <c r="V126" s="59">
        <v>45930</v>
      </c>
    </row>
    <row r="127" spans="1:22" x14ac:dyDescent="0.35">
      <c r="A127" t="s">
        <v>209</v>
      </c>
      <c r="B127" s="58">
        <v>45917.333333333336</v>
      </c>
      <c r="C127" s="58">
        <v>45918.708333333336</v>
      </c>
      <c r="D127" s="58">
        <v>45917.333333333336</v>
      </c>
      <c r="E127" s="58">
        <v>45918.708333333336</v>
      </c>
      <c r="F127" t="s">
        <v>210</v>
      </c>
      <c r="G127">
        <v>1</v>
      </c>
      <c r="H127">
        <v>90</v>
      </c>
      <c r="J127">
        <v>1</v>
      </c>
      <c r="K127">
        <v>1.375</v>
      </c>
      <c r="L127">
        <v>1.375</v>
      </c>
      <c r="M127">
        <v>990</v>
      </c>
      <c r="N127">
        <v>990</v>
      </c>
      <c r="O127">
        <v>990</v>
      </c>
      <c r="P127">
        <v>990</v>
      </c>
      <c r="Q127">
        <v>1</v>
      </c>
      <c r="R127">
        <v>1</v>
      </c>
      <c r="S127">
        <v>0</v>
      </c>
      <c r="T127">
        <v>0</v>
      </c>
      <c r="U127">
        <v>990</v>
      </c>
      <c r="V127" s="59">
        <v>45930</v>
      </c>
    </row>
    <row r="128" spans="1:22" x14ac:dyDescent="0.35">
      <c r="A128" t="s">
        <v>212</v>
      </c>
      <c r="B128" s="58">
        <v>45919.333333333336</v>
      </c>
      <c r="C128" s="58">
        <v>45930.708333333336</v>
      </c>
      <c r="D128" s="58">
        <v>45919.333333333336</v>
      </c>
      <c r="E128" s="58">
        <v>45930.708333333336</v>
      </c>
      <c r="F128" t="s">
        <v>213</v>
      </c>
      <c r="G128">
        <v>1</v>
      </c>
      <c r="H128">
        <v>85</v>
      </c>
      <c r="J128">
        <v>1</v>
      </c>
      <c r="K128">
        <v>11.375</v>
      </c>
      <c r="L128">
        <v>11.375</v>
      </c>
      <c r="M128">
        <v>7735</v>
      </c>
      <c r="N128">
        <v>7735</v>
      </c>
      <c r="O128">
        <v>7735</v>
      </c>
      <c r="P128">
        <v>7735</v>
      </c>
      <c r="Q128">
        <v>1</v>
      </c>
      <c r="R128">
        <v>1</v>
      </c>
      <c r="S128">
        <v>0</v>
      </c>
      <c r="T128">
        <v>0</v>
      </c>
      <c r="U128">
        <v>7735</v>
      </c>
      <c r="V128" s="59">
        <v>45930</v>
      </c>
    </row>
    <row r="129" spans="1:22" x14ac:dyDescent="0.35">
      <c r="A129" t="s">
        <v>280</v>
      </c>
      <c r="B129" s="58">
        <v>45877.333333333336</v>
      </c>
      <c r="C129" s="58">
        <v>45908.708333333336</v>
      </c>
      <c r="D129" s="58">
        <v>45890.333333333336</v>
      </c>
      <c r="E129" s="58">
        <v>45919.708333333336</v>
      </c>
      <c r="F129" t="s">
        <v>278</v>
      </c>
      <c r="G129">
        <v>1</v>
      </c>
      <c r="H129">
        <v>135</v>
      </c>
      <c r="J129">
        <v>3</v>
      </c>
      <c r="K129">
        <v>31.375</v>
      </c>
      <c r="L129">
        <v>29.375</v>
      </c>
      <c r="M129">
        <v>101655</v>
      </c>
      <c r="N129">
        <v>95175</v>
      </c>
      <c r="O129">
        <v>101655</v>
      </c>
      <c r="P129">
        <v>101655</v>
      </c>
      <c r="Q129">
        <v>1.0680851063829788</v>
      </c>
      <c r="R129">
        <v>1</v>
      </c>
      <c r="S129">
        <v>6480</v>
      </c>
      <c r="T129">
        <v>0</v>
      </c>
      <c r="U129">
        <v>95175</v>
      </c>
      <c r="V129" s="59">
        <v>45930</v>
      </c>
    </row>
    <row r="130" spans="1:22" x14ac:dyDescent="0.35">
      <c r="A130" t="s">
        <v>284</v>
      </c>
      <c r="B130" s="58">
        <v>45896.333333333336</v>
      </c>
      <c r="C130" s="58">
        <v>45901.708333333336</v>
      </c>
      <c r="D130" s="58">
        <v>45937.333333333336</v>
      </c>
      <c r="E130" s="58">
        <v>45947.333333333336</v>
      </c>
      <c r="F130" t="s">
        <v>278</v>
      </c>
      <c r="G130">
        <v>1</v>
      </c>
      <c r="H130">
        <v>135</v>
      </c>
      <c r="J130">
        <v>4</v>
      </c>
      <c r="K130">
        <v>5.375</v>
      </c>
      <c r="L130">
        <v>10</v>
      </c>
      <c r="M130">
        <v>23220</v>
      </c>
      <c r="N130">
        <v>43200</v>
      </c>
      <c r="O130">
        <v>23220</v>
      </c>
      <c r="P130">
        <v>23220</v>
      </c>
      <c r="Q130">
        <v>0.53749999999999998</v>
      </c>
      <c r="R130">
        <v>1</v>
      </c>
      <c r="S130">
        <v>-19980</v>
      </c>
      <c r="T130">
        <v>0</v>
      </c>
      <c r="U130">
        <v>43200</v>
      </c>
      <c r="V130" s="59">
        <v>45930</v>
      </c>
    </row>
    <row r="131" spans="1:22" x14ac:dyDescent="0.35">
      <c r="A131" t="s">
        <v>390</v>
      </c>
      <c r="B131" s="58">
        <v>45889.333333333336</v>
      </c>
      <c r="C131" s="58">
        <v>45905.708333333336</v>
      </c>
      <c r="D131" s="58">
        <v>45889.333333333336</v>
      </c>
      <c r="E131" s="58">
        <v>45905.708333333336</v>
      </c>
      <c r="F131" t="s">
        <v>391</v>
      </c>
      <c r="G131">
        <v>1</v>
      </c>
      <c r="H131">
        <v>130</v>
      </c>
      <c r="J131">
        <v>3</v>
      </c>
      <c r="K131">
        <v>16.375</v>
      </c>
      <c r="L131">
        <v>16.375</v>
      </c>
      <c r="M131">
        <v>51090</v>
      </c>
      <c r="N131">
        <v>51090</v>
      </c>
      <c r="O131">
        <v>51090</v>
      </c>
      <c r="P131">
        <v>51090</v>
      </c>
      <c r="Q131">
        <v>1</v>
      </c>
      <c r="R131">
        <v>1</v>
      </c>
      <c r="S131">
        <v>0</v>
      </c>
      <c r="T131">
        <v>0</v>
      </c>
      <c r="U131">
        <v>51090</v>
      </c>
      <c r="V131" s="59">
        <v>45930</v>
      </c>
    </row>
    <row r="132" spans="1:22" x14ac:dyDescent="0.35">
      <c r="A132" t="s">
        <v>393</v>
      </c>
      <c r="B132" s="58">
        <v>45908.333333333336</v>
      </c>
      <c r="C132" s="58">
        <v>45917.708333333336</v>
      </c>
      <c r="D132" s="58">
        <v>45908.333333333336</v>
      </c>
      <c r="E132" s="58">
        <v>45917.708333333336</v>
      </c>
      <c r="F132" t="s">
        <v>394</v>
      </c>
      <c r="G132">
        <v>1</v>
      </c>
      <c r="H132">
        <v>140</v>
      </c>
      <c r="J132">
        <v>1</v>
      </c>
      <c r="K132">
        <v>9.375</v>
      </c>
      <c r="L132">
        <v>9.375</v>
      </c>
      <c r="M132">
        <v>10500</v>
      </c>
      <c r="N132">
        <v>10500</v>
      </c>
      <c r="O132">
        <v>10500</v>
      </c>
      <c r="P132">
        <v>10500</v>
      </c>
      <c r="Q132">
        <v>1</v>
      </c>
      <c r="R132">
        <v>1</v>
      </c>
      <c r="S132">
        <v>0</v>
      </c>
      <c r="T132">
        <v>0</v>
      </c>
      <c r="U132">
        <v>10500</v>
      </c>
      <c r="V132" s="59">
        <v>45930</v>
      </c>
    </row>
    <row r="133" spans="1:22" x14ac:dyDescent="0.35">
      <c r="A133" t="s">
        <v>412</v>
      </c>
      <c r="B133" s="58">
        <v>45889.333333333336</v>
      </c>
      <c r="C133" s="58">
        <v>45903.708333333336</v>
      </c>
      <c r="D133" s="58">
        <v>45889.333333333336</v>
      </c>
      <c r="E133" s="58">
        <v>45903.708333333336</v>
      </c>
      <c r="F133" t="s">
        <v>384</v>
      </c>
      <c r="G133">
        <v>1</v>
      </c>
      <c r="H133">
        <v>125</v>
      </c>
      <c r="J133">
        <v>1</v>
      </c>
      <c r="K133">
        <v>14.375</v>
      </c>
      <c r="L133">
        <v>14.375</v>
      </c>
      <c r="M133">
        <v>14375</v>
      </c>
      <c r="N133">
        <v>14375</v>
      </c>
      <c r="O133">
        <v>14375</v>
      </c>
      <c r="P133">
        <v>14375</v>
      </c>
      <c r="Q133">
        <v>1</v>
      </c>
      <c r="R133">
        <v>1</v>
      </c>
      <c r="S133">
        <v>0</v>
      </c>
      <c r="T133">
        <v>0</v>
      </c>
      <c r="U133">
        <v>14375</v>
      </c>
      <c r="V133" s="59">
        <v>45930</v>
      </c>
    </row>
    <row r="134" spans="1:22" x14ac:dyDescent="0.35">
      <c r="A134" t="s">
        <v>414</v>
      </c>
      <c r="B134" s="58">
        <v>45889.333333333336</v>
      </c>
      <c r="C134" s="58">
        <v>45902.708333333336</v>
      </c>
      <c r="D134" s="58">
        <v>45889.333333333336</v>
      </c>
      <c r="E134" s="58">
        <v>45902.708333333336</v>
      </c>
      <c r="F134" t="s">
        <v>384</v>
      </c>
      <c r="G134">
        <v>1</v>
      </c>
      <c r="H134">
        <v>125</v>
      </c>
      <c r="J134">
        <v>1</v>
      </c>
      <c r="K134">
        <v>13.375</v>
      </c>
      <c r="L134">
        <v>13.375</v>
      </c>
      <c r="M134">
        <v>13375</v>
      </c>
      <c r="N134">
        <v>13375</v>
      </c>
      <c r="O134">
        <v>13375</v>
      </c>
      <c r="P134">
        <v>13375</v>
      </c>
      <c r="Q134">
        <v>1</v>
      </c>
      <c r="R134">
        <v>1</v>
      </c>
      <c r="S134">
        <v>0</v>
      </c>
      <c r="T134">
        <v>0</v>
      </c>
      <c r="U134">
        <v>13375</v>
      </c>
      <c r="V134" s="59">
        <v>45930</v>
      </c>
    </row>
    <row r="135" spans="1:22" x14ac:dyDescent="0.35">
      <c r="A135" t="s">
        <v>9</v>
      </c>
      <c r="B135" t="s">
        <v>5</v>
      </c>
      <c r="C135" s="58">
        <v>45932.708333333336</v>
      </c>
      <c r="D135" t="s">
        <v>5</v>
      </c>
      <c r="E135" s="58">
        <v>45933.708333333336</v>
      </c>
      <c r="F135" t="s">
        <v>5</v>
      </c>
      <c r="G135">
        <v>1</v>
      </c>
      <c r="H135" t="s">
        <v>5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5</v>
      </c>
      <c r="R135" t="s">
        <v>5</v>
      </c>
      <c r="S135">
        <v>0</v>
      </c>
      <c r="T135">
        <v>0</v>
      </c>
      <c r="U135">
        <v>0</v>
      </c>
      <c r="V135" s="59">
        <v>45961</v>
      </c>
    </row>
    <row r="136" spans="1:22" x14ac:dyDescent="0.35">
      <c r="A136" t="s">
        <v>215</v>
      </c>
      <c r="B136" s="58">
        <v>45931.333333333336</v>
      </c>
      <c r="C136" s="58">
        <v>45931.708333333336</v>
      </c>
      <c r="D136" s="58">
        <v>45931.333333333336</v>
      </c>
      <c r="E136" s="58">
        <v>45936.708333333336</v>
      </c>
      <c r="F136" t="s">
        <v>5</v>
      </c>
      <c r="G136">
        <v>1</v>
      </c>
      <c r="H136" t="s">
        <v>5</v>
      </c>
      <c r="J136">
        <v>1</v>
      </c>
      <c r="K136">
        <v>0.375</v>
      </c>
      <c r="L136">
        <v>5.375</v>
      </c>
      <c r="M136">
        <v>0</v>
      </c>
      <c r="N136">
        <v>0</v>
      </c>
      <c r="O136">
        <v>0</v>
      </c>
      <c r="P136">
        <v>0</v>
      </c>
      <c r="Q136" t="s">
        <v>5</v>
      </c>
      <c r="R136" t="s">
        <v>5</v>
      </c>
      <c r="S136">
        <v>0</v>
      </c>
      <c r="T136">
        <v>0</v>
      </c>
      <c r="U136">
        <v>0</v>
      </c>
      <c r="V136" s="59">
        <v>45961</v>
      </c>
    </row>
    <row r="137" spans="1:22" x14ac:dyDescent="0.35">
      <c r="A137" t="s">
        <v>286</v>
      </c>
      <c r="B137" s="58">
        <v>45946.333333333336</v>
      </c>
      <c r="C137" s="58">
        <v>45960.708333333336</v>
      </c>
      <c r="D137" s="58">
        <v>45946.333333333336</v>
      </c>
      <c r="E137" s="58">
        <v>45961.333333333336</v>
      </c>
      <c r="F137" t="s">
        <v>278</v>
      </c>
      <c r="G137">
        <v>1</v>
      </c>
      <c r="H137">
        <v>135</v>
      </c>
      <c r="J137">
        <v>3</v>
      </c>
      <c r="K137">
        <v>14.375</v>
      </c>
      <c r="L137">
        <v>15</v>
      </c>
      <c r="M137">
        <v>46575</v>
      </c>
      <c r="N137">
        <v>48600</v>
      </c>
      <c r="O137">
        <v>46575</v>
      </c>
      <c r="P137">
        <v>46575</v>
      </c>
      <c r="Q137">
        <v>0.95833333333333337</v>
      </c>
      <c r="R137">
        <v>1</v>
      </c>
      <c r="S137">
        <v>-2025</v>
      </c>
      <c r="T137">
        <v>0</v>
      </c>
      <c r="U137">
        <v>48600</v>
      </c>
      <c r="V137" s="59">
        <v>45961</v>
      </c>
    </row>
    <row r="138" spans="1:22" x14ac:dyDescent="0.35">
      <c r="A138" t="s">
        <v>290</v>
      </c>
      <c r="B138" s="58">
        <v>45930.333333333336</v>
      </c>
      <c r="C138" s="58">
        <v>45939.708333333336</v>
      </c>
      <c r="D138" s="58">
        <v>45957.333333333336</v>
      </c>
      <c r="E138" s="58">
        <v>45966.708333333336</v>
      </c>
      <c r="F138" t="s">
        <v>291</v>
      </c>
      <c r="G138">
        <v>1</v>
      </c>
      <c r="H138">
        <v>140</v>
      </c>
      <c r="J138">
        <v>3</v>
      </c>
      <c r="K138">
        <v>9.375</v>
      </c>
      <c r="L138">
        <v>9.375</v>
      </c>
      <c r="M138">
        <v>31500</v>
      </c>
      <c r="N138">
        <v>31500</v>
      </c>
      <c r="O138">
        <v>31500</v>
      </c>
      <c r="P138">
        <v>31500</v>
      </c>
      <c r="Q138">
        <v>1</v>
      </c>
      <c r="R138">
        <v>1</v>
      </c>
      <c r="S138">
        <v>0</v>
      </c>
      <c r="T138">
        <v>0</v>
      </c>
      <c r="U138">
        <v>31500</v>
      </c>
      <c r="V138" s="59">
        <v>45961</v>
      </c>
    </row>
    <row r="139" spans="1:22" x14ac:dyDescent="0.35">
      <c r="A139" t="s">
        <v>299</v>
      </c>
      <c r="B139" s="58">
        <v>45932.333333333336</v>
      </c>
      <c r="C139" s="58">
        <v>45936.708333333336</v>
      </c>
      <c r="D139" s="58">
        <v>45932.333333333336</v>
      </c>
      <c r="E139" s="58">
        <v>45936.708333333336</v>
      </c>
      <c r="F139" t="s">
        <v>300</v>
      </c>
      <c r="G139">
        <v>1</v>
      </c>
      <c r="H139">
        <v>135</v>
      </c>
      <c r="J139">
        <v>3</v>
      </c>
      <c r="K139">
        <v>4.375</v>
      </c>
      <c r="L139">
        <v>4.375</v>
      </c>
      <c r="M139">
        <v>14175</v>
      </c>
      <c r="N139">
        <v>14175</v>
      </c>
      <c r="O139">
        <v>14175</v>
      </c>
      <c r="P139">
        <v>14175</v>
      </c>
      <c r="Q139">
        <v>1</v>
      </c>
      <c r="R139">
        <v>1</v>
      </c>
      <c r="S139">
        <v>0</v>
      </c>
      <c r="T139">
        <v>0</v>
      </c>
      <c r="U139">
        <v>14175</v>
      </c>
      <c r="V139" s="59">
        <v>45961</v>
      </c>
    </row>
    <row r="140" spans="1:22" x14ac:dyDescent="0.35">
      <c r="A140" t="s">
        <v>396</v>
      </c>
      <c r="B140" s="58">
        <v>45918.333333333336</v>
      </c>
      <c r="C140" s="58">
        <v>45951.708333333336</v>
      </c>
      <c r="D140" s="58">
        <v>45918.333333333336</v>
      </c>
      <c r="E140" s="58">
        <v>45951.708333333336</v>
      </c>
      <c r="F140" t="s">
        <v>397</v>
      </c>
      <c r="G140">
        <v>1</v>
      </c>
      <c r="H140">
        <v>155</v>
      </c>
      <c r="J140">
        <v>6</v>
      </c>
      <c r="K140">
        <v>33.375</v>
      </c>
      <c r="L140">
        <v>33.375</v>
      </c>
      <c r="M140">
        <v>248310</v>
      </c>
      <c r="N140">
        <v>248310</v>
      </c>
      <c r="O140">
        <v>248310</v>
      </c>
      <c r="P140">
        <v>248310</v>
      </c>
      <c r="Q140">
        <v>1</v>
      </c>
      <c r="R140">
        <v>1</v>
      </c>
      <c r="S140">
        <v>0</v>
      </c>
      <c r="T140">
        <v>0</v>
      </c>
      <c r="U140">
        <v>248310</v>
      </c>
      <c r="V140" s="59">
        <v>45961</v>
      </c>
    </row>
    <row r="141" spans="1:22" x14ac:dyDescent="0.35">
      <c r="A141" t="s">
        <v>416</v>
      </c>
      <c r="B141" s="58">
        <v>45952.333333333336</v>
      </c>
      <c r="C141" s="58">
        <v>45959.708333333336</v>
      </c>
      <c r="D141" s="58">
        <v>45952.333333333336</v>
      </c>
      <c r="E141" s="58">
        <v>45959.708333333336</v>
      </c>
      <c r="F141" t="s">
        <v>397</v>
      </c>
      <c r="G141">
        <v>1</v>
      </c>
      <c r="H141">
        <v>155</v>
      </c>
      <c r="J141">
        <v>1</v>
      </c>
      <c r="K141">
        <v>7.375</v>
      </c>
      <c r="L141">
        <v>7.375</v>
      </c>
      <c r="M141">
        <v>9145</v>
      </c>
      <c r="N141">
        <v>9145</v>
      </c>
      <c r="O141">
        <v>9145</v>
      </c>
      <c r="P141">
        <v>9145</v>
      </c>
      <c r="Q141">
        <v>1</v>
      </c>
      <c r="R141">
        <v>1</v>
      </c>
      <c r="S141">
        <v>0</v>
      </c>
      <c r="T141">
        <v>0</v>
      </c>
      <c r="U141">
        <v>9145</v>
      </c>
      <c r="V141" s="59">
        <v>45961</v>
      </c>
    </row>
    <row r="142" spans="1:22" x14ac:dyDescent="0.35">
      <c r="A142" t="s">
        <v>667</v>
      </c>
      <c r="B142" s="58">
        <v>45961.333333333336</v>
      </c>
      <c r="C142" s="58">
        <v>45973.708333333336</v>
      </c>
      <c r="D142" s="58">
        <v>45961.333333333336</v>
      </c>
      <c r="E142" s="58">
        <v>45973.708333333336</v>
      </c>
      <c r="F142" t="s">
        <v>278</v>
      </c>
      <c r="G142">
        <v>1</v>
      </c>
      <c r="H142">
        <v>135</v>
      </c>
      <c r="J142">
        <v>3</v>
      </c>
      <c r="K142">
        <v>12.375</v>
      </c>
      <c r="L142">
        <v>12.375</v>
      </c>
      <c r="M142">
        <v>40095</v>
      </c>
      <c r="N142">
        <v>40095</v>
      </c>
      <c r="O142">
        <v>40095</v>
      </c>
      <c r="P142">
        <v>40095</v>
      </c>
      <c r="Q142">
        <v>1</v>
      </c>
      <c r="R142">
        <v>1</v>
      </c>
      <c r="S142">
        <v>0</v>
      </c>
      <c r="T142">
        <v>0</v>
      </c>
      <c r="U142">
        <v>40095</v>
      </c>
      <c r="V142" s="59">
        <v>45991</v>
      </c>
    </row>
    <row r="143" spans="1:22" x14ac:dyDescent="0.35">
      <c r="A143" t="s">
        <v>293</v>
      </c>
      <c r="B143" s="58">
        <v>45940.333333333336</v>
      </c>
      <c r="C143" s="58">
        <v>45968.708333333336</v>
      </c>
      <c r="D143" s="58">
        <v>45966.333333333336</v>
      </c>
      <c r="E143" s="58">
        <v>45994.708333333336</v>
      </c>
      <c r="F143" t="s">
        <v>291</v>
      </c>
      <c r="G143">
        <v>1</v>
      </c>
      <c r="H143">
        <v>140</v>
      </c>
      <c r="J143">
        <v>4</v>
      </c>
      <c r="K143">
        <v>28.375</v>
      </c>
      <c r="L143">
        <v>28.375</v>
      </c>
      <c r="M143">
        <v>127120</v>
      </c>
      <c r="N143">
        <v>127120</v>
      </c>
      <c r="O143">
        <v>127120</v>
      </c>
      <c r="P143">
        <v>127120</v>
      </c>
      <c r="Q143">
        <v>1</v>
      </c>
      <c r="R143">
        <v>1</v>
      </c>
      <c r="S143">
        <v>0</v>
      </c>
      <c r="T143">
        <v>0</v>
      </c>
      <c r="U143">
        <v>127120</v>
      </c>
      <c r="V143" s="59">
        <v>45991</v>
      </c>
    </row>
    <row r="144" spans="1:22" x14ac:dyDescent="0.35">
      <c r="A144" t="s">
        <v>297</v>
      </c>
      <c r="B144" s="58">
        <v>45971.333333333336</v>
      </c>
      <c r="C144" s="58">
        <v>45988.708333333336</v>
      </c>
      <c r="D144" s="58">
        <v>46013.333333333336</v>
      </c>
      <c r="E144" s="58">
        <v>46024.333333333336</v>
      </c>
      <c r="F144" t="s">
        <v>291</v>
      </c>
      <c r="G144">
        <v>1</v>
      </c>
      <c r="H144">
        <v>140</v>
      </c>
      <c r="J144">
        <v>3</v>
      </c>
      <c r="K144">
        <v>17.375</v>
      </c>
      <c r="L144">
        <v>11</v>
      </c>
      <c r="M144">
        <v>58380</v>
      </c>
      <c r="N144">
        <v>36960</v>
      </c>
      <c r="O144">
        <v>58380</v>
      </c>
      <c r="P144">
        <v>58380</v>
      </c>
      <c r="Q144">
        <v>1.5795454545454546</v>
      </c>
      <c r="R144">
        <v>1</v>
      </c>
      <c r="S144">
        <v>21420</v>
      </c>
      <c r="T144">
        <v>0</v>
      </c>
      <c r="U144">
        <v>36960</v>
      </c>
      <c r="V144" s="59">
        <v>45991</v>
      </c>
    </row>
    <row r="145" spans="1:22" x14ac:dyDescent="0.35">
      <c r="A145" t="s">
        <v>399</v>
      </c>
      <c r="B145" s="58">
        <v>45952.333333333336</v>
      </c>
      <c r="C145" s="58">
        <v>45973.708333333336</v>
      </c>
      <c r="D145" s="58">
        <v>45952.333333333336</v>
      </c>
      <c r="E145" s="58">
        <v>45973.708333333336</v>
      </c>
      <c r="F145" t="s">
        <v>400</v>
      </c>
      <c r="G145">
        <v>1</v>
      </c>
      <c r="H145">
        <v>155</v>
      </c>
      <c r="J145">
        <v>3</v>
      </c>
      <c r="K145">
        <v>21.375</v>
      </c>
      <c r="L145">
        <v>21.375</v>
      </c>
      <c r="M145">
        <v>79515</v>
      </c>
      <c r="N145">
        <v>79515</v>
      </c>
      <c r="O145">
        <v>79515</v>
      </c>
      <c r="P145">
        <v>79515</v>
      </c>
      <c r="Q145">
        <v>1</v>
      </c>
      <c r="R145">
        <v>1</v>
      </c>
      <c r="S145">
        <v>0</v>
      </c>
      <c r="T145">
        <v>0</v>
      </c>
      <c r="U145">
        <v>79515</v>
      </c>
      <c r="V145" s="59">
        <v>45991</v>
      </c>
    </row>
    <row r="146" spans="1:22" x14ac:dyDescent="0.35">
      <c r="A146" t="s">
        <v>295</v>
      </c>
      <c r="B146" s="58">
        <v>45994.333333333336</v>
      </c>
      <c r="C146" s="58">
        <v>46013.708333333336</v>
      </c>
      <c r="D146" s="58">
        <v>45994.333333333336</v>
      </c>
      <c r="E146" s="58">
        <v>46013.708333333336</v>
      </c>
      <c r="F146" t="s">
        <v>291</v>
      </c>
      <c r="G146">
        <v>1</v>
      </c>
      <c r="H146">
        <v>140</v>
      </c>
      <c r="J146">
        <v>4</v>
      </c>
      <c r="K146">
        <v>19.375</v>
      </c>
      <c r="L146">
        <v>19.375</v>
      </c>
      <c r="M146">
        <v>86800</v>
      </c>
      <c r="N146">
        <v>86800</v>
      </c>
      <c r="O146">
        <v>86800</v>
      </c>
      <c r="P146">
        <v>86800</v>
      </c>
      <c r="Q146">
        <v>1</v>
      </c>
      <c r="R146">
        <v>1</v>
      </c>
      <c r="S146">
        <v>0</v>
      </c>
      <c r="T146">
        <v>0</v>
      </c>
      <c r="U146">
        <v>86800</v>
      </c>
      <c r="V146" s="59">
        <v>46022</v>
      </c>
    </row>
    <row r="147" spans="1:22" x14ac:dyDescent="0.35">
      <c r="A147" t="s">
        <v>302</v>
      </c>
      <c r="B147" s="58">
        <v>45989.333333333336</v>
      </c>
      <c r="C147" s="58">
        <v>46001.708333333336</v>
      </c>
      <c r="D147" s="58">
        <v>46024.333333333336</v>
      </c>
      <c r="E147" s="58">
        <v>46036.708333333336</v>
      </c>
      <c r="F147" t="s">
        <v>303</v>
      </c>
      <c r="G147">
        <v>1</v>
      </c>
      <c r="H147">
        <v>140</v>
      </c>
      <c r="J147">
        <v>1</v>
      </c>
      <c r="K147">
        <v>12.375</v>
      </c>
      <c r="L147">
        <v>12.375</v>
      </c>
      <c r="M147">
        <v>13860</v>
      </c>
      <c r="N147">
        <v>13860</v>
      </c>
      <c r="O147">
        <v>13860</v>
      </c>
      <c r="P147">
        <v>13860</v>
      </c>
      <c r="Q147">
        <v>1</v>
      </c>
      <c r="R147">
        <v>1</v>
      </c>
      <c r="S147">
        <v>0</v>
      </c>
      <c r="T147">
        <v>0</v>
      </c>
      <c r="U147">
        <v>13860</v>
      </c>
      <c r="V147" s="59">
        <v>46022</v>
      </c>
    </row>
    <row r="148" spans="1:22" x14ac:dyDescent="0.35">
      <c r="A148" t="s">
        <v>307</v>
      </c>
      <c r="B148" s="58">
        <v>45989.333333333336</v>
      </c>
      <c r="C148" s="58">
        <v>46003.708333333336</v>
      </c>
      <c r="D148" s="58">
        <v>46024.333333333336</v>
      </c>
      <c r="E148" s="58">
        <v>46038.708333333336</v>
      </c>
      <c r="F148" t="s">
        <v>303</v>
      </c>
      <c r="G148">
        <v>1</v>
      </c>
      <c r="H148">
        <v>140</v>
      </c>
      <c r="J148">
        <v>1</v>
      </c>
      <c r="K148">
        <v>14.375</v>
      </c>
      <c r="L148">
        <v>14.375</v>
      </c>
      <c r="M148">
        <v>16100</v>
      </c>
      <c r="N148">
        <v>16100</v>
      </c>
      <c r="O148">
        <v>16100</v>
      </c>
      <c r="P148">
        <v>16100</v>
      </c>
      <c r="Q148">
        <v>1</v>
      </c>
      <c r="R148">
        <v>1</v>
      </c>
      <c r="S148">
        <v>0</v>
      </c>
      <c r="T148">
        <v>0</v>
      </c>
      <c r="U148">
        <v>16100</v>
      </c>
      <c r="V148" s="59">
        <v>46022</v>
      </c>
    </row>
    <row r="149" spans="1:22" x14ac:dyDescent="0.35">
      <c r="A149" t="s">
        <v>668</v>
      </c>
      <c r="B149" s="58">
        <v>45989.333333333336</v>
      </c>
      <c r="C149" s="58">
        <v>46009.708333333336</v>
      </c>
      <c r="D149" s="58">
        <v>46024.333333333336</v>
      </c>
      <c r="E149" s="58">
        <v>46044.708333333336</v>
      </c>
      <c r="F149" t="s">
        <v>310</v>
      </c>
      <c r="G149">
        <v>1</v>
      </c>
      <c r="H149">
        <v>140</v>
      </c>
      <c r="J149">
        <v>4</v>
      </c>
      <c r="K149">
        <v>20.375</v>
      </c>
      <c r="L149">
        <v>20.375</v>
      </c>
      <c r="M149">
        <v>91280</v>
      </c>
      <c r="N149">
        <v>91280</v>
      </c>
      <c r="O149">
        <v>91280</v>
      </c>
      <c r="P149">
        <v>91280</v>
      </c>
      <c r="Q149">
        <v>1</v>
      </c>
      <c r="R149">
        <v>1</v>
      </c>
      <c r="S149">
        <v>0</v>
      </c>
      <c r="T149">
        <v>0</v>
      </c>
      <c r="U149">
        <v>91280</v>
      </c>
      <c r="V149" s="59">
        <v>46022</v>
      </c>
    </row>
    <row r="150" spans="1:22" x14ac:dyDescent="0.35">
      <c r="A150" t="s">
        <v>669</v>
      </c>
      <c r="B150" s="58">
        <v>45989.333333333336</v>
      </c>
      <c r="C150" s="58">
        <v>46015.708333333336</v>
      </c>
      <c r="D150" s="58">
        <v>46024.333333333336</v>
      </c>
      <c r="E150" s="58">
        <v>46050.708333333336</v>
      </c>
      <c r="F150" t="s">
        <v>310</v>
      </c>
      <c r="G150">
        <v>1</v>
      </c>
      <c r="H150">
        <v>140</v>
      </c>
      <c r="J150">
        <v>4</v>
      </c>
      <c r="K150">
        <v>26.375</v>
      </c>
      <c r="L150">
        <v>26.375</v>
      </c>
      <c r="M150">
        <v>118160</v>
      </c>
      <c r="N150">
        <v>118160</v>
      </c>
      <c r="O150">
        <v>118160</v>
      </c>
      <c r="P150">
        <v>118160</v>
      </c>
      <c r="Q150">
        <v>1</v>
      </c>
      <c r="R150">
        <v>1</v>
      </c>
      <c r="S150">
        <v>0</v>
      </c>
      <c r="T150">
        <v>0</v>
      </c>
      <c r="U150">
        <v>118160</v>
      </c>
      <c r="V150" s="59">
        <v>46022</v>
      </c>
    </row>
    <row r="151" spans="1:22" x14ac:dyDescent="0.35">
      <c r="A151" t="s">
        <v>330</v>
      </c>
      <c r="B151" s="58">
        <v>45989.333333333336</v>
      </c>
      <c r="C151" s="58">
        <v>46014.708333333336</v>
      </c>
      <c r="D151" s="58">
        <v>46024.333333333336</v>
      </c>
      <c r="E151" s="58">
        <v>46049.708333333336</v>
      </c>
      <c r="F151" t="s">
        <v>331</v>
      </c>
      <c r="G151">
        <v>1</v>
      </c>
      <c r="H151">
        <v>135</v>
      </c>
      <c r="J151">
        <v>3</v>
      </c>
      <c r="K151">
        <v>25.375</v>
      </c>
      <c r="L151">
        <v>25.375</v>
      </c>
      <c r="M151">
        <v>82215</v>
      </c>
      <c r="N151">
        <v>82215</v>
      </c>
      <c r="O151">
        <v>82215</v>
      </c>
      <c r="P151">
        <v>82215</v>
      </c>
      <c r="Q151">
        <v>1</v>
      </c>
      <c r="R151">
        <v>1</v>
      </c>
      <c r="S151">
        <v>0</v>
      </c>
      <c r="T151">
        <v>0</v>
      </c>
      <c r="U151">
        <v>82215</v>
      </c>
      <c r="V151" s="59">
        <v>46022</v>
      </c>
    </row>
    <row r="152" spans="1:22" x14ac:dyDescent="0.35">
      <c r="A152" t="s">
        <v>402</v>
      </c>
      <c r="B152" s="58">
        <v>45974.333333333336</v>
      </c>
      <c r="C152" s="58">
        <v>45992.708333333336</v>
      </c>
      <c r="D152" s="58">
        <v>45974.333333333336</v>
      </c>
      <c r="E152" s="58">
        <v>45992.708333333336</v>
      </c>
      <c r="F152" t="s">
        <v>403</v>
      </c>
      <c r="G152">
        <v>1</v>
      </c>
      <c r="H152">
        <v>135</v>
      </c>
      <c r="J152">
        <v>3</v>
      </c>
      <c r="K152">
        <v>18.375</v>
      </c>
      <c r="L152">
        <v>18.375</v>
      </c>
      <c r="M152">
        <v>59535</v>
      </c>
      <c r="N152">
        <v>59535</v>
      </c>
      <c r="O152">
        <v>59535</v>
      </c>
      <c r="P152">
        <v>59535</v>
      </c>
      <c r="Q152">
        <v>1</v>
      </c>
      <c r="R152">
        <v>1</v>
      </c>
      <c r="S152">
        <v>0</v>
      </c>
      <c r="T152">
        <v>0</v>
      </c>
      <c r="U152">
        <v>59535</v>
      </c>
      <c r="V152" s="59">
        <v>46022</v>
      </c>
    </row>
    <row r="153" spans="1:22" x14ac:dyDescent="0.35">
      <c r="A153" t="s">
        <v>405</v>
      </c>
      <c r="B153" s="58">
        <v>45993.333333333336</v>
      </c>
      <c r="C153" s="58">
        <v>46013.708333333336</v>
      </c>
      <c r="D153" s="58">
        <v>45993.333333333336</v>
      </c>
      <c r="E153" s="58">
        <v>46013.708333333336</v>
      </c>
      <c r="F153" t="s">
        <v>406</v>
      </c>
      <c r="G153">
        <v>1</v>
      </c>
      <c r="H153">
        <v>135</v>
      </c>
      <c r="J153">
        <v>3</v>
      </c>
      <c r="K153">
        <v>20.375</v>
      </c>
      <c r="L153">
        <v>20.375</v>
      </c>
      <c r="M153">
        <v>66015</v>
      </c>
      <c r="N153">
        <v>66015</v>
      </c>
      <c r="O153">
        <v>66015</v>
      </c>
      <c r="P153">
        <v>66015</v>
      </c>
      <c r="Q153">
        <v>1</v>
      </c>
      <c r="R153">
        <v>1</v>
      </c>
      <c r="S153">
        <v>0</v>
      </c>
      <c r="T153">
        <v>0</v>
      </c>
      <c r="U153">
        <v>66015</v>
      </c>
      <c r="V153" s="59">
        <v>46022</v>
      </c>
    </row>
    <row r="154" spans="1:22" x14ac:dyDescent="0.35">
      <c r="A154" t="s">
        <v>305</v>
      </c>
      <c r="B154" s="58">
        <v>46024.333333333336</v>
      </c>
      <c r="C154" s="58">
        <v>46038.708333333336</v>
      </c>
      <c r="D154" s="58">
        <v>46024.333333333336</v>
      </c>
      <c r="E154" s="58">
        <v>46038.708333333336</v>
      </c>
      <c r="F154" t="s">
        <v>303</v>
      </c>
      <c r="G154">
        <v>1</v>
      </c>
      <c r="H154">
        <v>140</v>
      </c>
      <c r="J154">
        <v>1</v>
      </c>
      <c r="K154">
        <v>14.375</v>
      </c>
      <c r="L154">
        <v>14.375</v>
      </c>
      <c r="M154">
        <v>16100</v>
      </c>
      <c r="N154">
        <v>16100</v>
      </c>
      <c r="O154">
        <v>16100</v>
      </c>
      <c r="P154">
        <v>16100</v>
      </c>
      <c r="Q154">
        <v>1</v>
      </c>
      <c r="R154">
        <v>1</v>
      </c>
      <c r="S154">
        <v>0</v>
      </c>
      <c r="T154">
        <v>0</v>
      </c>
      <c r="U154">
        <v>16100</v>
      </c>
      <c r="V154" s="59">
        <v>46053</v>
      </c>
    </row>
    <row r="155" spans="1:22" x14ac:dyDescent="0.35">
      <c r="A155" t="s">
        <v>309</v>
      </c>
      <c r="B155" s="58">
        <v>46006.333333333336</v>
      </c>
      <c r="C155" s="58">
        <v>46023.708333333336</v>
      </c>
      <c r="D155" s="58">
        <v>46038.333333333336</v>
      </c>
      <c r="E155" s="58">
        <v>46057.708333333336</v>
      </c>
      <c r="F155" t="s">
        <v>310</v>
      </c>
      <c r="G155">
        <v>1</v>
      </c>
      <c r="H155">
        <v>140</v>
      </c>
      <c r="J155">
        <v>3</v>
      </c>
      <c r="K155">
        <v>17.375</v>
      </c>
      <c r="L155">
        <v>19.375</v>
      </c>
      <c r="M155">
        <v>58380</v>
      </c>
      <c r="N155">
        <v>65100</v>
      </c>
      <c r="O155">
        <v>58380</v>
      </c>
      <c r="P155">
        <v>58380</v>
      </c>
      <c r="Q155">
        <v>0.89677419354838706</v>
      </c>
      <c r="R155">
        <v>1</v>
      </c>
      <c r="S155">
        <v>-6720</v>
      </c>
      <c r="T155">
        <v>0</v>
      </c>
      <c r="U155">
        <v>65100</v>
      </c>
      <c r="V155" s="59">
        <v>46053</v>
      </c>
    </row>
    <row r="156" spans="1:22" x14ac:dyDescent="0.35">
      <c r="A156" t="s">
        <v>316</v>
      </c>
      <c r="B156" s="58">
        <v>46016.333333333336</v>
      </c>
      <c r="C156" s="58">
        <v>46034.708333333336</v>
      </c>
      <c r="D156" s="58">
        <v>46050.333333333336</v>
      </c>
      <c r="E156" s="58">
        <v>46066.708333333336</v>
      </c>
      <c r="F156" t="s">
        <v>310</v>
      </c>
      <c r="G156">
        <v>1</v>
      </c>
      <c r="H156">
        <v>140</v>
      </c>
      <c r="J156">
        <v>4</v>
      </c>
      <c r="K156">
        <v>18.375</v>
      </c>
      <c r="L156">
        <v>16.375</v>
      </c>
      <c r="M156">
        <v>82320</v>
      </c>
      <c r="N156">
        <v>73360</v>
      </c>
      <c r="O156">
        <v>82320</v>
      </c>
      <c r="P156">
        <v>82320</v>
      </c>
      <c r="Q156">
        <v>1.1221374045801527</v>
      </c>
      <c r="R156">
        <v>1</v>
      </c>
      <c r="S156">
        <v>8960</v>
      </c>
      <c r="T156">
        <v>0</v>
      </c>
      <c r="U156">
        <v>73360</v>
      </c>
      <c r="V156" s="59">
        <v>46053</v>
      </c>
    </row>
    <row r="157" spans="1:22" x14ac:dyDescent="0.35">
      <c r="A157" t="s">
        <v>333</v>
      </c>
      <c r="B157" s="58">
        <v>46015.333333333336</v>
      </c>
      <c r="C157" s="58">
        <v>46044.708333333336</v>
      </c>
      <c r="D157" s="58">
        <v>46049.333333333336</v>
      </c>
      <c r="E157" s="58">
        <v>46078.708333333336</v>
      </c>
      <c r="F157" t="s">
        <v>334</v>
      </c>
      <c r="G157">
        <v>1</v>
      </c>
      <c r="H157">
        <v>135</v>
      </c>
      <c r="J157">
        <v>3</v>
      </c>
      <c r="K157">
        <v>29.375</v>
      </c>
      <c r="L157">
        <v>29.375</v>
      </c>
      <c r="M157">
        <v>95175</v>
      </c>
      <c r="N157">
        <v>95175</v>
      </c>
      <c r="O157">
        <v>95175</v>
      </c>
      <c r="P157">
        <v>95175</v>
      </c>
      <c r="Q157">
        <v>1</v>
      </c>
      <c r="R157">
        <v>1</v>
      </c>
      <c r="S157">
        <v>0</v>
      </c>
      <c r="T157">
        <v>0</v>
      </c>
      <c r="U157">
        <v>95175</v>
      </c>
      <c r="V157" s="59">
        <v>46053</v>
      </c>
    </row>
    <row r="158" spans="1:22" x14ac:dyDescent="0.35">
      <c r="A158" t="s">
        <v>336</v>
      </c>
      <c r="B158" s="58">
        <v>46015.333333333336</v>
      </c>
      <c r="C158" s="58">
        <v>46037.708333333336</v>
      </c>
      <c r="D158" s="58">
        <v>46049.333333333336</v>
      </c>
      <c r="E158" s="58">
        <v>46071.708333333336</v>
      </c>
      <c r="F158" t="s">
        <v>334</v>
      </c>
      <c r="G158">
        <v>1</v>
      </c>
      <c r="H158">
        <v>135</v>
      </c>
      <c r="J158">
        <v>3</v>
      </c>
      <c r="K158">
        <v>22.375</v>
      </c>
      <c r="L158">
        <v>22.375</v>
      </c>
      <c r="M158">
        <v>72495</v>
      </c>
      <c r="N158">
        <v>72495</v>
      </c>
      <c r="O158">
        <v>72495</v>
      </c>
      <c r="P158">
        <v>72495</v>
      </c>
      <c r="Q158">
        <v>1</v>
      </c>
      <c r="R158">
        <v>1</v>
      </c>
      <c r="S158">
        <v>0</v>
      </c>
      <c r="T158">
        <v>0</v>
      </c>
      <c r="U158">
        <v>72495</v>
      </c>
      <c r="V158" s="59">
        <v>46053</v>
      </c>
    </row>
    <row r="159" spans="1:22" x14ac:dyDescent="0.35">
      <c r="A159" t="s">
        <v>347</v>
      </c>
      <c r="B159" s="58">
        <v>46016.333333333336</v>
      </c>
      <c r="C159" s="58">
        <v>46043.708333333336</v>
      </c>
      <c r="D159" s="59">
        <v>46050</v>
      </c>
      <c r="E159" s="58">
        <v>46078.333333333336</v>
      </c>
      <c r="F159" t="s">
        <v>348</v>
      </c>
      <c r="G159">
        <v>1</v>
      </c>
      <c r="H159">
        <v>145</v>
      </c>
      <c r="J159">
        <v>3</v>
      </c>
      <c r="K159">
        <v>27.375</v>
      </c>
      <c r="L159">
        <v>28.333333333299379</v>
      </c>
      <c r="M159">
        <v>95265</v>
      </c>
      <c r="N159">
        <v>98599.999999881838</v>
      </c>
      <c r="O159">
        <v>95265</v>
      </c>
      <c r="P159">
        <v>95265</v>
      </c>
      <c r="Q159">
        <v>0.96617647058939315</v>
      </c>
      <c r="R159">
        <v>1</v>
      </c>
      <c r="S159">
        <v>-3334.9999998818384</v>
      </c>
      <c r="T159">
        <v>0</v>
      </c>
      <c r="U159">
        <v>98599.999999881838</v>
      </c>
      <c r="V159" s="59">
        <v>46053</v>
      </c>
    </row>
    <row r="160" spans="1:22" x14ac:dyDescent="0.35">
      <c r="A160" t="s">
        <v>352</v>
      </c>
      <c r="B160" s="58">
        <v>46024.333333333336</v>
      </c>
      <c r="C160" s="58">
        <v>46037.708333333336</v>
      </c>
      <c r="D160" s="58">
        <v>46024.333333333336</v>
      </c>
      <c r="E160" s="58">
        <v>46038.708333333336</v>
      </c>
      <c r="F160" t="s">
        <v>348</v>
      </c>
      <c r="G160">
        <v>1</v>
      </c>
      <c r="H160">
        <v>145</v>
      </c>
      <c r="J160">
        <v>1</v>
      </c>
      <c r="K160">
        <v>13.375</v>
      </c>
      <c r="L160">
        <v>14.375</v>
      </c>
      <c r="M160">
        <v>15515</v>
      </c>
      <c r="N160">
        <v>16675</v>
      </c>
      <c r="O160">
        <v>15515</v>
      </c>
      <c r="P160">
        <v>15515</v>
      </c>
      <c r="Q160">
        <v>0.93043478260869561</v>
      </c>
      <c r="R160">
        <v>1</v>
      </c>
      <c r="S160">
        <v>-1160</v>
      </c>
      <c r="T160">
        <v>0</v>
      </c>
      <c r="U160">
        <v>16675</v>
      </c>
      <c r="V160" s="59">
        <v>46053</v>
      </c>
    </row>
    <row r="161" spans="1:22" x14ac:dyDescent="0.35">
      <c r="A161" t="s">
        <v>361</v>
      </c>
      <c r="B161" s="58">
        <v>46016.333333333336</v>
      </c>
      <c r="C161" s="58">
        <v>46041.708333333336</v>
      </c>
      <c r="D161" s="58">
        <v>46066.333333333336</v>
      </c>
      <c r="E161" t="s">
        <v>5</v>
      </c>
      <c r="F161" t="s">
        <v>310</v>
      </c>
      <c r="G161">
        <v>0</v>
      </c>
      <c r="H161">
        <v>140</v>
      </c>
      <c r="J161">
        <v>1</v>
      </c>
      <c r="K161">
        <v>25.375</v>
      </c>
      <c r="L161">
        <v>0</v>
      </c>
      <c r="M161">
        <v>28420</v>
      </c>
      <c r="N161">
        <v>0</v>
      </c>
      <c r="O161">
        <v>28420</v>
      </c>
      <c r="P161">
        <v>0</v>
      </c>
      <c r="Q161" t="s">
        <v>5</v>
      </c>
      <c r="R161">
        <v>0</v>
      </c>
      <c r="S161">
        <v>0</v>
      </c>
      <c r="T161">
        <v>-28420</v>
      </c>
      <c r="U161">
        <v>28420</v>
      </c>
      <c r="V161" s="59">
        <v>46053</v>
      </c>
    </row>
    <row r="162" spans="1:22" x14ac:dyDescent="0.35">
      <c r="A162" t="s">
        <v>370</v>
      </c>
      <c r="B162" s="58">
        <v>46024.333333333336</v>
      </c>
      <c r="C162" t="s">
        <v>5</v>
      </c>
      <c r="D162" s="58">
        <v>46058.333333333336</v>
      </c>
      <c r="E162" t="s">
        <v>5</v>
      </c>
      <c r="F162" t="s">
        <v>5</v>
      </c>
      <c r="G162">
        <v>1</v>
      </c>
      <c r="H162" t="s">
        <v>5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</v>
      </c>
      <c r="R162" t="s">
        <v>5</v>
      </c>
      <c r="S162">
        <v>0</v>
      </c>
      <c r="T162">
        <v>0</v>
      </c>
      <c r="U162">
        <v>0</v>
      </c>
      <c r="V162" s="59">
        <v>46053</v>
      </c>
    </row>
    <row r="163" spans="1:22" x14ac:dyDescent="0.35">
      <c r="A163" t="s">
        <v>408</v>
      </c>
      <c r="B163" s="58">
        <v>46014.333333333336</v>
      </c>
      <c r="C163" s="58">
        <v>46034.708333333336</v>
      </c>
      <c r="D163" s="58">
        <v>46014.333333333336</v>
      </c>
      <c r="E163" s="58">
        <v>46034.708333333336</v>
      </c>
      <c r="F163" t="s">
        <v>384</v>
      </c>
      <c r="G163">
        <v>1</v>
      </c>
      <c r="H163">
        <v>125</v>
      </c>
      <c r="J163">
        <v>4</v>
      </c>
      <c r="K163">
        <v>20.375</v>
      </c>
      <c r="L163">
        <v>20.375</v>
      </c>
      <c r="M163">
        <v>81500</v>
      </c>
      <c r="N163">
        <v>81500</v>
      </c>
      <c r="O163">
        <v>81500</v>
      </c>
      <c r="P163">
        <v>81500</v>
      </c>
      <c r="Q163">
        <v>1</v>
      </c>
      <c r="R163">
        <v>1</v>
      </c>
      <c r="S163">
        <v>0</v>
      </c>
      <c r="T163">
        <v>0</v>
      </c>
      <c r="U163">
        <v>81500</v>
      </c>
      <c r="V163" s="59">
        <v>46053</v>
      </c>
    </row>
    <row r="164" spans="1:22" x14ac:dyDescent="0.35">
      <c r="A164" t="s">
        <v>318</v>
      </c>
      <c r="B164" s="58">
        <v>46035.333333333336</v>
      </c>
      <c r="C164" s="58">
        <v>46055.708333333336</v>
      </c>
      <c r="D164" s="58">
        <v>46066.333333333336</v>
      </c>
      <c r="E164" s="58">
        <v>46080.708333333336</v>
      </c>
      <c r="F164" t="s">
        <v>319</v>
      </c>
      <c r="G164">
        <v>1</v>
      </c>
      <c r="H164">
        <v>150</v>
      </c>
      <c r="J164">
        <v>1</v>
      </c>
      <c r="K164">
        <v>20.375</v>
      </c>
      <c r="L164">
        <v>14.375</v>
      </c>
      <c r="M164">
        <v>24450</v>
      </c>
      <c r="N164">
        <v>17250</v>
      </c>
      <c r="O164">
        <v>24450</v>
      </c>
      <c r="P164">
        <v>24450</v>
      </c>
      <c r="Q164">
        <v>1.4173913043478261</v>
      </c>
      <c r="R164">
        <v>1</v>
      </c>
      <c r="S164">
        <v>7200</v>
      </c>
      <c r="T164">
        <v>0</v>
      </c>
      <c r="U164">
        <v>17250</v>
      </c>
      <c r="V164" s="59">
        <v>46081</v>
      </c>
    </row>
    <row r="165" spans="1:22" x14ac:dyDescent="0.35">
      <c r="A165" t="s">
        <v>321</v>
      </c>
      <c r="B165" s="58">
        <v>46056.333333333336</v>
      </c>
      <c r="C165" s="58">
        <v>46076.708333333336</v>
      </c>
      <c r="D165" s="58">
        <v>46080.333333333336</v>
      </c>
      <c r="E165" s="58">
        <v>46090.708333333336</v>
      </c>
      <c r="F165" t="s">
        <v>322</v>
      </c>
      <c r="G165">
        <v>1</v>
      </c>
      <c r="H165">
        <v>135</v>
      </c>
      <c r="J165">
        <v>1</v>
      </c>
      <c r="K165">
        <v>20.375</v>
      </c>
      <c r="L165">
        <v>10.375</v>
      </c>
      <c r="M165">
        <v>22005</v>
      </c>
      <c r="N165">
        <v>11205</v>
      </c>
      <c r="O165">
        <v>22005</v>
      </c>
      <c r="P165">
        <v>22005</v>
      </c>
      <c r="Q165">
        <v>1.963855421686747</v>
      </c>
      <c r="R165">
        <v>1</v>
      </c>
      <c r="S165">
        <v>10800</v>
      </c>
      <c r="T165">
        <v>0</v>
      </c>
      <c r="U165">
        <v>11205</v>
      </c>
      <c r="V165" s="59">
        <v>46081</v>
      </c>
    </row>
    <row r="166" spans="1:22" x14ac:dyDescent="0.35">
      <c r="A166" t="s">
        <v>338</v>
      </c>
      <c r="B166" s="58">
        <v>46045.333333333336</v>
      </c>
      <c r="C166" s="58">
        <v>46070.708333333336</v>
      </c>
      <c r="D166" s="58">
        <v>46078.333333333336</v>
      </c>
      <c r="E166" s="58">
        <v>46101.708333333336</v>
      </c>
      <c r="F166" t="s">
        <v>328</v>
      </c>
      <c r="G166">
        <v>1</v>
      </c>
      <c r="H166">
        <v>145</v>
      </c>
      <c r="J166">
        <v>3</v>
      </c>
      <c r="K166">
        <v>25.375</v>
      </c>
      <c r="L166">
        <v>23.375</v>
      </c>
      <c r="M166">
        <v>88305</v>
      </c>
      <c r="N166">
        <v>81345</v>
      </c>
      <c r="O166">
        <v>88305</v>
      </c>
      <c r="P166">
        <v>88305</v>
      </c>
      <c r="Q166">
        <v>1.0855614973262031</v>
      </c>
      <c r="R166">
        <v>1</v>
      </c>
      <c r="S166">
        <v>6960</v>
      </c>
      <c r="T166">
        <v>0</v>
      </c>
      <c r="U166">
        <v>81345</v>
      </c>
      <c r="V166" s="59">
        <v>46081</v>
      </c>
    </row>
    <row r="167" spans="1:22" x14ac:dyDescent="0.35">
      <c r="A167" t="s">
        <v>340</v>
      </c>
      <c r="B167" s="58">
        <v>46038.333333333336</v>
      </c>
      <c r="C167" s="58">
        <v>46058.708333333336</v>
      </c>
      <c r="D167" s="58">
        <v>46071.333333333336</v>
      </c>
      <c r="E167" t="s">
        <v>5</v>
      </c>
      <c r="F167" t="s">
        <v>341</v>
      </c>
      <c r="G167">
        <v>0.3</v>
      </c>
      <c r="H167">
        <v>145</v>
      </c>
      <c r="J167">
        <v>3</v>
      </c>
      <c r="K167">
        <v>20.375</v>
      </c>
      <c r="L167">
        <v>0</v>
      </c>
      <c r="M167">
        <v>70905</v>
      </c>
      <c r="N167">
        <v>0</v>
      </c>
      <c r="O167">
        <v>70905</v>
      </c>
      <c r="P167">
        <v>21271.5</v>
      </c>
      <c r="Q167" t="s">
        <v>5</v>
      </c>
      <c r="R167">
        <v>0.3</v>
      </c>
      <c r="S167">
        <v>21271.5</v>
      </c>
      <c r="T167">
        <v>-49633.5</v>
      </c>
      <c r="U167">
        <v>49633.5</v>
      </c>
      <c r="V167" s="59">
        <v>46081</v>
      </c>
    </row>
    <row r="168" spans="1:22" x14ac:dyDescent="0.35">
      <c r="A168" t="s">
        <v>671</v>
      </c>
      <c r="B168" s="58">
        <v>46045.333333333336</v>
      </c>
      <c r="C168" s="58">
        <v>46065.708333333336</v>
      </c>
      <c r="D168" s="58">
        <v>46078.333333333336</v>
      </c>
      <c r="E168" t="s">
        <v>5</v>
      </c>
      <c r="F168" t="s">
        <v>328</v>
      </c>
      <c r="G168">
        <v>0.4</v>
      </c>
      <c r="H168">
        <v>145</v>
      </c>
      <c r="J168">
        <v>1</v>
      </c>
      <c r="K168">
        <v>20.375</v>
      </c>
      <c r="L168">
        <v>0</v>
      </c>
      <c r="M168">
        <v>23635</v>
      </c>
      <c r="N168">
        <v>0</v>
      </c>
      <c r="O168">
        <v>23635</v>
      </c>
      <c r="P168">
        <v>9454</v>
      </c>
      <c r="Q168" t="s">
        <v>5</v>
      </c>
      <c r="R168">
        <v>0.4</v>
      </c>
      <c r="S168">
        <v>9454</v>
      </c>
      <c r="T168">
        <v>-14181</v>
      </c>
      <c r="U168">
        <v>14181</v>
      </c>
      <c r="V168" s="59">
        <v>46081</v>
      </c>
    </row>
    <row r="169" spans="1:22" x14ac:dyDescent="0.35">
      <c r="A169" t="s">
        <v>350</v>
      </c>
      <c r="B169" s="58">
        <v>46035.333333333336</v>
      </c>
      <c r="C169" s="58">
        <v>46062.708333333336</v>
      </c>
      <c r="D169" s="59">
        <v>46066</v>
      </c>
      <c r="E169" s="58">
        <v>46107.708333333336</v>
      </c>
      <c r="F169" t="s">
        <v>348</v>
      </c>
      <c r="G169">
        <v>1</v>
      </c>
      <c r="H169">
        <v>145</v>
      </c>
      <c r="J169">
        <v>1</v>
      </c>
      <c r="K169">
        <v>27.375</v>
      </c>
      <c r="L169">
        <v>41.708333333299379</v>
      </c>
      <c r="M169">
        <v>31755</v>
      </c>
      <c r="N169">
        <v>48381.666666627279</v>
      </c>
      <c r="O169">
        <v>31755</v>
      </c>
      <c r="P169">
        <v>31755</v>
      </c>
      <c r="Q169">
        <v>0.65634365634419067</v>
      </c>
      <c r="R169">
        <v>1</v>
      </c>
      <c r="S169">
        <v>-16626.666666627279</v>
      </c>
      <c r="T169">
        <v>0</v>
      </c>
      <c r="U169">
        <v>48381.666666627279</v>
      </c>
      <c r="V169" s="59">
        <v>46081</v>
      </c>
    </row>
    <row r="170" spans="1:22" x14ac:dyDescent="0.35">
      <c r="A170" t="s">
        <v>354</v>
      </c>
      <c r="B170" s="58">
        <v>46049.333333333336</v>
      </c>
      <c r="C170" s="58">
        <v>46059.708333333336</v>
      </c>
      <c r="D170" s="58">
        <v>46049.333333333336</v>
      </c>
      <c r="E170" s="58">
        <v>46059.708333333336</v>
      </c>
      <c r="F170" t="s">
        <v>348</v>
      </c>
      <c r="G170">
        <v>1</v>
      </c>
      <c r="H170">
        <v>145</v>
      </c>
      <c r="J170">
        <v>3</v>
      </c>
      <c r="K170">
        <v>10.375</v>
      </c>
      <c r="L170">
        <v>10.375</v>
      </c>
      <c r="M170">
        <v>36105</v>
      </c>
      <c r="N170">
        <v>36105</v>
      </c>
      <c r="O170">
        <v>36105</v>
      </c>
      <c r="P170">
        <v>36105</v>
      </c>
      <c r="Q170">
        <v>1</v>
      </c>
      <c r="R170">
        <v>1</v>
      </c>
      <c r="S170">
        <v>0</v>
      </c>
      <c r="T170">
        <v>0</v>
      </c>
      <c r="U170">
        <v>36105</v>
      </c>
      <c r="V170" s="59">
        <v>46081</v>
      </c>
    </row>
    <row r="171" spans="1:22" x14ac:dyDescent="0.35">
      <c r="A171" t="s">
        <v>410</v>
      </c>
      <c r="B171" s="58">
        <v>46035.333333333336</v>
      </c>
      <c r="C171" s="58">
        <v>46055.708333333336</v>
      </c>
      <c r="D171" s="58">
        <v>46035.333333333336</v>
      </c>
      <c r="E171" s="58">
        <v>46055.708333333336</v>
      </c>
      <c r="F171" t="s">
        <v>397</v>
      </c>
      <c r="G171">
        <v>1</v>
      </c>
      <c r="H171">
        <v>155</v>
      </c>
      <c r="J171">
        <v>1</v>
      </c>
      <c r="K171">
        <v>20.375</v>
      </c>
      <c r="L171">
        <v>20.375</v>
      </c>
      <c r="M171">
        <v>25265</v>
      </c>
      <c r="N171">
        <v>25265</v>
      </c>
      <c r="O171">
        <v>25265</v>
      </c>
      <c r="P171">
        <v>25265</v>
      </c>
      <c r="Q171">
        <v>1</v>
      </c>
      <c r="R171">
        <v>1</v>
      </c>
      <c r="S171">
        <v>0</v>
      </c>
      <c r="T171">
        <v>0</v>
      </c>
      <c r="U171">
        <v>25265</v>
      </c>
      <c r="V171" s="59">
        <v>46081</v>
      </c>
    </row>
    <row r="172" spans="1:22" x14ac:dyDescent="0.35">
      <c r="A172" t="s">
        <v>655</v>
      </c>
      <c r="B172" t="s">
        <v>5</v>
      </c>
      <c r="C172" s="58">
        <v>46108.708333333336</v>
      </c>
      <c r="D172" t="s">
        <v>5</v>
      </c>
      <c r="E172" t="s">
        <v>5</v>
      </c>
      <c r="F172" t="s">
        <v>5</v>
      </c>
      <c r="G172">
        <v>0</v>
      </c>
      <c r="H172" t="s">
        <v>5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</v>
      </c>
      <c r="R172" t="s">
        <v>5</v>
      </c>
      <c r="S172">
        <v>0</v>
      </c>
      <c r="T172">
        <v>0</v>
      </c>
      <c r="U172">
        <v>0</v>
      </c>
      <c r="V172" s="59">
        <v>46112</v>
      </c>
    </row>
    <row r="173" spans="1:22" x14ac:dyDescent="0.35">
      <c r="A173" t="s">
        <v>670</v>
      </c>
      <c r="B173" s="58">
        <v>46090.333333333336</v>
      </c>
      <c r="C173" s="58">
        <v>46101.708333333336</v>
      </c>
      <c r="D173" s="58">
        <v>46090.333333333336</v>
      </c>
      <c r="E173" s="58">
        <v>46101.708333333336</v>
      </c>
      <c r="F173" t="s">
        <v>325</v>
      </c>
      <c r="G173">
        <v>1</v>
      </c>
      <c r="H173">
        <v>135</v>
      </c>
      <c r="J173">
        <v>1</v>
      </c>
      <c r="K173">
        <v>11.375</v>
      </c>
      <c r="L173">
        <v>11.375</v>
      </c>
      <c r="M173">
        <v>12285</v>
      </c>
      <c r="N173">
        <v>12285</v>
      </c>
      <c r="O173">
        <v>12285</v>
      </c>
      <c r="P173">
        <v>12285</v>
      </c>
      <c r="Q173">
        <v>1</v>
      </c>
      <c r="R173">
        <v>1</v>
      </c>
      <c r="S173">
        <v>0</v>
      </c>
      <c r="T173">
        <v>0</v>
      </c>
      <c r="U173">
        <v>12285</v>
      </c>
      <c r="V173" s="59">
        <v>46112</v>
      </c>
    </row>
    <row r="174" spans="1:22" x14ac:dyDescent="0.35">
      <c r="A174" t="s">
        <v>345</v>
      </c>
      <c r="B174" s="58">
        <v>46071.333333333336</v>
      </c>
      <c r="C174" s="58">
        <v>46091.708333333336</v>
      </c>
      <c r="D174" t="s">
        <v>5</v>
      </c>
      <c r="E174" t="s">
        <v>5</v>
      </c>
      <c r="F174" t="s">
        <v>328</v>
      </c>
      <c r="G174">
        <v>0</v>
      </c>
      <c r="H174">
        <v>145</v>
      </c>
      <c r="J174">
        <v>1</v>
      </c>
      <c r="K174">
        <v>20.375</v>
      </c>
      <c r="L174">
        <v>0</v>
      </c>
      <c r="M174">
        <v>23635</v>
      </c>
      <c r="N174">
        <v>0</v>
      </c>
      <c r="O174">
        <v>23635</v>
      </c>
      <c r="P174">
        <v>0</v>
      </c>
      <c r="Q174" t="s">
        <v>5</v>
      </c>
      <c r="R174">
        <v>0</v>
      </c>
      <c r="S174">
        <v>0</v>
      </c>
      <c r="T174">
        <v>-23635</v>
      </c>
      <c r="U174">
        <v>23635</v>
      </c>
      <c r="V174" s="59">
        <v>46112</v>
      </c>
    </row>
    <row r="175" spans="1:22" x14ac:dyDescent="0.35">
      <c r="A175" t="s">
        <v>356</v>
      </c>
      <c r="B175" s="58">
        <v>46092.333333333336</v>
      </c>
      <c r="C175" s="58">
        <v>46105.708333333336</v>
      </c>
      <c r="D175" t="s">
        <v>5</v>
      </c>
      <c r="E175" t="s">
        <v>5</v>
      </c>
      <c r="F175" t="s">
        <v>357</v>
      </c>
      <c r="G175">
        <v>0</v>
      </c>
      <c r="H175">
        <v>145</v>
      </c>
      <c r="J175">
        <v>1</v>
      </c>
      <c r="K175">
        <v>13.375</v>
      </c>
      <c r="L175">
        <v>0</v>
      </c>
      <c r="M175">
        <v>15515</v>
      </c>
      <c r="N175">
        <v>0</v>
      </c>
      <c r="O175">
        <v>15515</v>
      </c>
      <c r="P175">
        <v>0</v>
      </c>
      <c r="Q175" t="s">
        <v>5</v>
      </c>
      <c r="R175">
        <v>0</v>
      </c>
      <c r="S175">
        <v>0</v>
      </c>
      <c r="T175">
        <v>-15515</v>
      </c>
      <c r="U175">
        <v>15515</v>
      </c>
      <c r="V175" s="59">
        <v>46112</v>
      </c>
    </row>
    <row r="176" spans="1:22" x14ac:dyDescent="0.35">
      <c r="A176" t="s">
        <v>363</v>
      </c>
      <c r="B176" s="58">
        <v>46077.333333333336</v>
      </c>
      <c r="C176" s="58">
        <v>46090.708333333336</v>
      </c>
      <c r="D176" t="s">
        <v>5</v>
      </c>
      <c r="E176" t="s">
        <v>5</v>
      </c>
      <c r="F176" t="s">
        <v>310</v>
      </c>
      <c r="G176">
        <v>0</v>
      </c>
      <c r="H176">
        <v>140</v>
      </c>
      <c r="J176">
        <v>1</v>
      </c>
      <c r="K176">
        <v>13.375</v>
      </c>
      <c r="L176">
        <v>0</v>
      </c>
      <c r="M176">
        <v>14980</v>
      </c>
      <c r="N176">
        <v>0</v>
      </c>
      <c r="O176">
        <v>14980</v>
      </c>
      <c r="P176">
        <v>0</v>
      </c>
      <c r="Q176" t="s">
        <v>5</v>
      </c>
      <c r="R176">
        <v>0</v>
      </c>
      <c r="S176">
        <v>0</v>
      </c>
      <c r="T176">
        <v>-14980</v>
      </c>
      <c r="U176">
        <v>14980</v>
      </c>
      <c r="V176" s="59">
        <v>46112</v>
      </c>
    </row>
    <row r="177" spans="1:22" x14ac:dyDescent="0.35">
      <c r="A177" t="s">
        <v>672</v>
      </c>
      <c r="B177" s="58">
        <v>46091.333333333336</v>
      </c>
      <c r="C177" s="58">
        <v>46111.708333333336</v>
      </c>
      <c r="D177" t="s">
        <v>5</v>
      </c>
      <c r="E177" t="s">
        <v>5</v>
      </c>
      <c r="F177" t="s">
        <v>310</v>
      </c>
      <c r="G177">
        <v>0</v>
      </c>
      <c r="H177">
        <v>140</v>
      </c>
      <c r="J177">
        <v>1</v>
      </c>
      <c r="K177">
        <v>20.375</v>
      </c>
      <c r="L177">
        <v>0</v>
      </c>
      <c r="M177">
        <v>22820</v>
      </c>
      <c r="N177">
        <v>0</v>
      </c>
      <c r="O177">
        <v>22820</v>
      </c>
      <c r="P177">
        <v>0</v>
      </c>
      <c r="Q177" t="s">
        <v>5</v>
      </c>
      <c r="R177">
        <v>0</v>
      </c>
      <c r="S177">
        <v>0</v>
      </c>
      <c r="T177">
        <v>-22820</v>
      </c>
      <c r="U177">
        <v>22820</v>
      </c>
      <c r="V177" s="59">
        <v>46112</v>
      </c>
    </row>
    <row r="178" spans="1:22" x14ac:dyDescent="0.35">
      <c r="A178" t="s">
        <v>418</v>
      </c>
      <c r="B178" s="58">
        <v>46056.333333333336</v>
      </c>
      <c r="C178" s="58">
        <v>46085.708333333336</v>
      </c>
      <c r="D178" s="58">
        <v>46056.333333333336</v>
      </c>
      <c r="E178" s="58">
        <v>46085.708333333336</v>
      </c>
      <c r="F178" t="s">
        <v>322</v>
      </c>
      <c r="G178">
        <v>1</v>
      </c>
      <c r="H178">
        <v>135</v>
      </c>
      <c r="J178">
        <v>1</v>
      </c>
      <c r="K178">
        <v>29.375</v>
      </c>
      <c r="L178">
        <v>29.375</v>
      </c>
      <c r="M178">
        <v>31725</v>
      </c>
      <c r="N178">
        <v>31725</v>
      </c>
      <c r="O178">
        <v>31725</v>
      </c>
      <c r="P178">
        <v>31725</v>
      </c>
      <c r="Q178">
        <v>1</v>
      </c>
      <c r="R178">
        <v>1</v>
      </c>
      <c r="S178">
        <v>0</v>
      </c>
      <c r="T178">
        <v>0</v>
      </c>
      <c r="U178">
        <v>31725</v>
      </c>
      <c r="V178" s="59">
        <v>46112</v>
      </c>
    </row>
    <row r="179" spans="1:22" x14ac:dyDescent="0.35">
      <c r="A179" t="s">
        <v>420</v>
      </c>
      <c r="B179" s="58">
        <v>46086.333333333336</v>
      </c>
      <c r="C179" s="58">
        <v>46090.708333333336</v>
      </c>
      <c r="D179" s="58">
        <v>46086.333333333336</v>
      </c>
      <c r="E179" t="s">
        <v>5</v>
      </c>
      <c r="F179" t="s">
        <v>322</v>
      </c>
      <c r="G179">
        <v>0</v>
      </c>
      <c r="H179">
        <v>135</v>
      </c>
      <c r="J179">
        <v>1</v>
      </c>
      <c r="K179">
        <v>4.375</v>
      </c>
      <c r="L179">
        <v>0</v>
      </c>
      <c r="M179">
        <v>4725</v>
      </c>
      <c r="N179">
        <v>0</v>
      </c>
      <c r="O179">
        <v>4725</v>
      </c>
      <c r="P179">
        <v>0</v>
      </c>
      <c r="Q179" t="s">
        <v>5</v>
      </c>
      <c r="R179">
        <v>0</v>
      </c>
      <c r="S179">
        <v>0</v>
      </c>
      <c r="T179">
        <v>-4725</v>
      </c>
      <c r="U179">
        <v>4725</v>
      </c>
      <c r="V179" s="59">
        <v>46112</v>
      </c>
    </row>
    <row r="180" spans="1:22" x14ac:dyDescent="0.35">
      <c r="A180" t="s">
        <v>674</v>
      </c>
      <c r="B180" s="58">
        <v>46091.333333333336</v>
      </c>
      <c r="C180" s="58">
        <v>46093.708333333336</v>
      </c>
      <c r="D180" t="s">
        <v>5</v>
      </c>
      <c r="E180" t="s">
        <v>5</v>
      </c>
      <c r="F180" t="s">
        <v>322</v>
      </c>
      <c r="G180">
        <v>0</v>
      </c>
      <c r="H180">
        <v>135</v>
      </c>
      <c r="J180">
        <v>1</v>
      </c>
      <c r="K180">
        <v>2.375</v>
      </c>
      <c r="L180">
        <v>0</v>
      </c>
      <c r="M180">
        <v>2565</v>
      </c>
      <c r="N180">
        <v>0</v>
      </c>
      <c r="O180">
        <v>2565</v>
      </c>
      <c r="P180">
        <v>0</v>
      </c>
      <c r="Q180" t="s">
        <v>5</v>
      </c>
      <c r="R180">
        <v>0</v>
      </c>
      <c r="S180">
        <v>0</v>
      </c>
      <c r="T180">
        <v>-2565</v>
      </c>
      <c r="U180">
        <v>2565</v>
      </c>
      <c r="V180" s="59">
        <v>46112</v>
      </c>
    </row>
    <row r="181" spans="1:22" x14ac:dyDescent="0.35">
      <c r="A181" t="s">
        <v>424</v>
      </c>
      <c r="B181" s="58">
        <v>46094.333333333336</v>
      </c>
      <c r="C181" s="58">
        <v>46100.708333333336</v>
      </c>
      <c r="D181" t="s">
        <v>5</v>
      </c>
      <c r="E181" t="s">
        <v>5</v>
      </c>
      <c r="F181" t="s">
        <v>397</v>
      </c>
      <c r="G181">
        <v>0</v>
      </c>
      <c r="H181">
        <v>155</v>
      </c>
      <c r="J181">
        <v>1</v>
      </c>
      <c r="K181">
        <v>6.375</v>
      </c>
      <c r="L181">
        <v>0</v>
      </c>
      <c r="M181">
        <v>7905</v>
      </c>
      <c r="N181">
        <v>0</v>
      </c>
      <c r="O181">
        <v>7905</v>
      </c>
      <c r="P181">
        <v>0</v>
      </c>
      <c r="Q181" t="s">
        <v>5</v>
      </c>
      <c r="R181">
        <v>0</v>
      </c>
      <c r="S181">
        <v>0</v>
      </c>
      <c r="T181">
        <v>-7905</v>
      </c>
      <c r="U181">
        <v>7905</v>
      </c>
      <c r="V181" s="59">
        <v>46112</v>
      </c>
    </row>
    <row r="182" spans="1:22" x14ac:dyDescent="0.35">
      <c r="A182" t="s">
        <v>426</v>
      </c>
      <c r="B182" s="58">
        <v>46101.333333333336</v>
      </c>
      <c r="C182" s="58">
        <v>46107.708333333336</v>
      </c>
      <c r="D182" t="s">
        <v>5</v>
      </c>
      <c r="E182" t="s">
        <v>5</v>
      </c>
      <c r="F182" t="s">
        <v>381</v>
      </c>
      <c r="G182">
        <v>0</v>
      </c>
      <c r="H182">
        <v>140</v>
      </c>
      <c r="J182">
        <v>1</v>
      </c>
      <c r="K182">
        <v>6.375</v>
      </c>
      <c r="L182">
        <v>0</v>
      </c>
      <c r="M182">
        <v>7140</v>
      </c>
      <c r="N182">
        <v>0</v>
      </c>
      <c r="O182">
        <v>7140</v>
      </c>
      <c r="P182">
        <v>0</v>
      </c>
      <c r="Q182" t="s">
        <v>5</v>
      </c>
      <c r="R182">
        <v>0</v>
      </c>
      <c r="S182">
        <v>0</v>
      </c>
      <c r="T182">
        <v>-7140</v>
      </c>
      <c r="U182">
        <v>7140</v>
      </c>
      <c r="V182" s="59">
        <v>46112</v>
      </c>
    </row>
    <row r="183" spans="1:22" x14ac:dyDescent="0.35">
      <c r="A183" t="s">
        <v>431</v>
      </c>
      <c r="B183" s="58">
        <v>46091.333333333336</v>
      </c>
      <c r="C183" s="58">
        <v>46111.708333333336</v>
      </c>
      <c r="D183" t="s">
        <v>5</v>
      </c>
      <c r="E183" t="s">
        <v>5</v>
      </c>
      <c r="F183" t="s">
        <v>325</v>
      </c>
      <c r="G183">
        <v>0</v>
      </c>
      <c r="H183">
        <v>135</v>
      </c>
      <c r="J183">
        <v>1</v>
      </c>
      <c r="K183">
        <v>20.375</v>
      </c>
      <c r="L183">
        <v>0</v>
      </c>
      <c r="M183">
        <v>22005</v>
      </c>
      <c r="N183">
        <v>0</v>
      </c>
      <c r="O183">
        <v>22005</v>
      </c>
      <c r="P183">
        <v>0</v>
      </c>
      <c r="Q183" t="s">
        <v>5</v>
      </c>
      <c r="R183">
        <v>0</v>
      </c>
      <c r="S183">
        <v>0</v>
      </c>
      <c r="T183">
        <v>-22005</v>
      </c>
      <c r="U183">
        <v>22005</v>
      </c>
      <c r="V183" s="59">
        <v>46112</v>
      </c>
    </row>
    <row r="184" spans="1:22" x14ac:dyDescent="0.35">
      <c r="A184" t="s">
        <v>433</v>
      </c>
      <c r="B184" s="58">
        <v>46092.333333333336</v>
      </c>
      <c r="C184" s="58">
        <v>46105.708333333336</v>
      </c>
      <c r="D184" t="s">
        <v>5</v>
      </c>
      <c r="E184" t="s">
        <v>5</v>
      </c>
      <c r="F184" t="s">
        <v>429</v>
      </c>
      <c r="G184">
        <v>0</v>
      </c>
      <c r="H184">
        <v>160</v>
      </c>
      <c r="J184">
        <v>1</v>
      </c>
      <c r="K184">
        <v>13.375</v>
      </c>
      <c r="L184">
        <v>0</v>
      </c>
      <c r="M184">
        <v>17120</v>
      </c>
      <c r="N184">
        <v>0</v>
      </c>
      <c r="O184">
        <v>17120</v>
      </c>
      <c r="P184">
        <v>0</v>
      </c>
      <c r="Q184" t="s">
        <v>5</v>
      </c>
      <c r="R184">
        <v>0</v>
      </c>
      <c r="S184">
        <v>0</v>
      </c>
      <c r="T184">
        <v>-17120</v>
      </c>
      <c r="U184">
        <v>17120</v>
      </c>
      <c r="V184" s="59">
        <v>46112</v>
      </c>
    </row>
    <row r="185" spans="1:22" x14ac:dyDescent="0.35">
      <c r="A185" t="s">
        <v>435</v>
      </c>
      <c r="B185" s="58">
        <v>46092.333333333336</v>
      </c>
      <c r="C185" s="58">
        <v>46105.708333333336</v>
      </c>
      <c r="D185" t="s">
        <v>5</v>
      </c>
      <c r="E185" t="s">
        <v>5</v>
      </c>
      <c r="F185" t="s">
        <v>429</v>
      </c>
      <c r="G185">
        <v>0</v>
      </c>
      <c r="H185">
        <v>160</v>
      </c>
      <c r="J185">
        <v>1</v>
      </c>
      <c r="K185">
        <v>13.375</v>
      </c>
      <c r="L185">
        <v>0</v>
      </c>
      <c r="M185">
        <v>17120</v>
      </c>
      <c r="N185">
        <v>0</v>
      </c>
      <c r="O185">
        <v>17120</v>
      </c>
      <c r="P185">
        <v>0</v>
      </c>
      <c r="Q185" t="s">
        <v>5</v>
      </c>
      <c r="R185">
        <v>0</v>
      </c>
      <c r="S185">
        <v>0</v>
      </c>
      <c r="T185">
        <v>-17120</v>
      </c>
      <c r="U185">
        <v>17120</v>
      </c>
      <c r="V185" s="59">
        <v>46112</v>
      </c>
    </row>
    <row r="186" spans="1:22" x14ac:dyDescent="0.35">
      <c r="A186" t="s">
        <v>359</v>
      </c>
      <c r="B186" s="58">
        <v>46106.333333333336</v>
      </c>
      <c r="C186" s="58">
        <v>46126.708333333336</v>
      </c>
      <c r="D186" t="s">
        <v>5</v>
      </c>
      <c r="E186" t="s">
        <v>5</v>
      </c>
      <c r="F186" t="s">
        <v>357</v>
      </c>
      <c r="G186">
        <v>0</v>
      </c>
      <c r="H186">
        <v>145</v>
      </c>
      <c r="J186">
        <v>1</v>
      </c>
      <c r="K186">
        <v>20.375</v>
      </c>
      <c r="L186">
        <v>0</v>
      </c>
      <c r="M186">
        <v>23635</v>
      </c>
      <c r="N186">
        <v>0</v>
      </c>
      <c r="O186">
        <v>23635</v>
      </c>
      <c r="P186">
        <v>0</v>
      </c>
      <c r="Q186" t="s">
        <v>5</v>
      </c>
      <c r="R186">
        <v>0</v>
      </c>
      <c r="S186">
        <v>0</v>
      </c>
      <c r="T186">
        <v>-23635</v>
      </c>
      <c r="U186">
        <v>23635</v>
      </c>
      <c r="V186" s="59">
        <v>46142</v>
      </c>
    </row>
    <row r="187" spans="1:22" x14ac:dyDescent="0.35">
      <c r="A187" t="s">
        <v>367</v>
      </c>
      <c r="B187" s="58">
        <v>46091.333333333336</v>
      </c>
      <c r="C187" s="58">
        <v>46132.708333333336</v>
      </c>
      <c r="D187" t="s">
        <v>5</v>
      </c>
      <c r="E187" t="s">
        <v>5</v>
      </c>
      <c r="F187" t="s">
        <v>368</v>
      </c>
      <c r="G187">
        <v>0</v>
      </c>
      <c r="H187">
        <v>145</v>
      </c>
      <c r="J187">
        <v>1</v>
      </c>
      <c r="K187">
        <v>41.375</v>
      </c>
      <c r="L187">
        <v>0</v>
      </c>
      <c r="M187">
        <v>47995</v>
      </c>
      <c r="N187">
        <v>0</v>
      </c>
      <c r="O187">
        <v>47995</v>
      </c>
      <c r="P187">
        <v>0</v>
      </c>
      <c r="Q187" t="s">
        <v>5</v>
      </c>
      <c r="R187">
        <v>0</v>
      </c>
      <c r="S187">
        <v>0</v>
      </c>
      <c r="T187">
        <v>-47995</v>
      </c>
      <c r="U187">
        <v>47995</v>
      </c>
      <c r="V187" s="59">
        <v>46142</v>
      </c>
    </row>
    <row r="188" spans="1:22" x14ac:dyDescent="0.35">
      <c r="A188" t="s">
        <v>654</v>
      </c>
      <c r="B188" t="s">
        <v>5</v>
      </c>
      <c r="C188" s="58">
        <v>46154.708333333336</v>
      </c>
      <c r="D188" t="s">
        <v>5</v>
      </c>
      <c r="E188" t="s">
        <v>5</v>
      </c>
      <c r="F188" t="s">
        <v>5</v>
      </c>
      <c r="G188">
        <v>0</v>
      </c>
      <c r="H188" t="s">
        <v>5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</v>
      </c>
      <c r="R188" t="s">
        <v>5</v>
      </c>
      <c r="S188">
        <v>0</v>
      </c>
      <c r="T188">
        <v>0</v>
      </c>
      <c r="U188">
        <v>0</v>
      </c>
      <c r="V188" s="59">
        <v>46173</v>
      </c>
    </row>
    <row r="189" spans="1:22" x14ac:dyDescent="0.35">
      <c r="A189" t="s">
        <v>373</v>
      </c>
      <c r="B189" s="58">
        <v>46133.333333333336</v>
      </c>
      <c r="C189" s="58">
        <v>46146.708333333336</v>
      </c>
      <c r="D189" t="s">
        <v>5</v>
      </c>
      <c r="E189" t="s">
        <v>5</v>
      </c>
      <c r="F189" t="s">
        <v>371</v>
      </c>
      <c r="G189">
        <v>0</v>
      </c>
      <c r="H189">
        <v>150</v>
      </c>
      <c r="J189">
        <v>1</v>
      </c>
      <c r="K189">
        <v>13.375</v>
      </c>
      <c r="L189">
        <v>0</v>
      </c>
      <c r="M189">
        <v>16050</v>
      </c>
      <c r="N189">
        <v>0</v>
      </c>
      <c r="O189">
        <v>16050</v>
      </c>
      <c r="P189">
        <v>0</v>
      </c>
      <c r="Q189" t="s">
        <v>5</v>
      </c>
      <c r="R189">
        <v>0</v>
      </c>
      <c r="S189">
        <v>0</v>
      </c>
      <c r="T189">
        <v>-16050</v>
      </c>
      <c r="U189">
        <v>16050</v>
      </c>
      <c r="V189" s="59">
        <v>46173</v>
      </c>
    </row>
    <row r="190" spans="1:22" x14ac:dyDescent="0.35">
      <c r="A190" t="s">
        <v>375</v>
      </c>
      <c r="B190" s="58">
        <v>46147.333333333336</v>
      </c>
      <c r="C190" s="58">
        <v>46153.708333333336</v>
      </c>
      <c r="D190" t="s">
        <v>5</v>
      </c>
      <c r="E190" t="s">
        <v>5</v>
      </c>
      <c r="F190" t="s">
        <v>376</v>
      </c>
      <c r="G190">
        <v>0</v>
      </c>
      <c r="H190">
        <v>90</v>
      </c>
      <c r="J190">
        <v>1</v>
      </c>
      <c r="K190">
        <v>6.375</v>
      </c>
      <c r="L190">
        <v>0</v>
      </c>
      <c r="M190">
        <v>4590</v>
      </c>
      <c r="N190">
        <v>0</v>
      </c>
      <c r="O190">
        <v>4590</v>
      </c>
      <c r="P190">
        <v>0</v>
      </c>
      <c r="Q190" t="s">
        <v>5</v>
      </c>
      <c r="R190">
        <v>0</v>
      </c>
      <c r="S190">
        <v>0</v>
      </c>
      <c r="T190">
        <v>-4590</v>
      </c>
      <c r="U190">
        <v>4590</v>
      </c>
      <c r="V190" s="59">
        <v>46173</v>
      </c>
    </row>
    <row r="191" spans="1:22" x14ac:dyDescent="0.35">
      <c r="A191" t="s">
        <v>378</v>
      </c>
      <c r="B191" s="58">
        <v>46154.333333333336</v>
      </c>
      <c r="C191" t="s">
        <v>5</v>
      </c>
      <c r="D191" t="s">
        <v>5</v>
      </c>
      <c r="E191" t="s">
        <v>5</v>
      </c>
      <c r="F191" t="s">
        <v>5</v>
      </c>
      <c r="G191">
        <v>0</v>
      </c>
      <c r="H191" t="s">
        <v>5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</v>
      </c>
      <c r="R191" t="s">
        <v>5</v>
      </c>
      <c r="S191">
        <v>0</v>
      </c>
      <c r="T191">
        <v>0</v>
      </c>
      <c r="U191">
        <v>0</v>
      </c>
      <c r="V191" s="59">
        <v>46173</v>
      </c>
    </row>
    <row r="192" spans="1:22" x14ac:dyDescent="0.35">
      <c r="A192" t="s">
        <v>437</v>
      </c>
      <c r="B192" s="58">
        <v>46127.333333333336</v>
      </c>
      <c r="C192" s="58">
        <v>46147.708333333336</v>
      </c>
      <c r="D192" t="s">
        <v>5</v>
      </c>
      <c r="E192" t="s">
        <v>5</v>
      </c>
      <c r="F192" t="s">
        <v>357</v>
      </c>
      <c r="G192">
        <v>0</v>
      </c>
      <c r="H192">
        <v>145</v>
      </c>
      <c r="J192">
        <v>1</v>
      </c>
      <c r="K192">
        <v>20.375</v>
      </c>
      <c r="L192">
        <v>0</v>
      </c>
      <c r="M192">
        <v>23635</v>
      </c>
      <c r="N192">
        <v>0</v>
      </c>
      <c r="O192">
        <v>23635</v>
      </c>
      <c r="P192">
        <v>0</v>
      </c>
      <c r="Q192" t="s">
        <v>5</v>
      </c>
      <c r="R192">
        <v>0</v>
      </c>
      <c r="S192">
        <v>0</v>
      </c>
      <c r="T192">
        <v>-23635</v>
      </c>
      <c r="U192">
        <v>23635</v>
      </c>
      <c r="V192" s="59">
        <v>46173</v>
      </c>
    </row>
    <row r="193" spans="1:22" x14ac:dyDescent="0.35">
      <c r="A193" t="s">
        <v>16</v>
      </c>
      <c r="B193" s="58">
        <v>46203.333333333336</v>
      </c>
      <c r="C193" t="s">
        <v>5</v>
      </c>
      <c r="D193" t="s">
        <v>5</v>
      </c>
      <c r="E193" t="s">
        <v>5</v>
      </c>
      <c r="F193" t="s">
        <v>5</v>
      </c>
      <c r="G193">
        <v>0</v>
      </c>
      <c r="H193" t="s">
        <v>5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</v>
      </c>
      <c r="R193" t="s">
        <v>5</v>
      </c>
      <c r="S193">
        <v>0</v>
      </c>
      <c r="T193">
        <v>0</v>
      </c>
      <c r="U193">
        <v>0</v>
      </c>
      <c r="V193" s="59">
        <v>46203</v>
      </c>
    </row>
    <row r="194" spans="1:22" x14ac:dyDescent="0.35">
      <c r="A194" t="s">
        <v>428</v>
      </c>
      <c r="B194" s="58">
        <v>46154.333333333336</v>
      </c>
      <c r="C194" s="58">
        <v>46188.708333333336</v>
      </c>
      <c r="D194" t="s">
        <v>5</v>
      </c>
      <c r="E194" t="s">
        <v>5</v>
      </c>
      <c r="F194" t="s">
        <v>429</v>
      </c>
      <c r="G194">
        <v>0</v>
      </c>
      <c r="H194">
        <v>160</v>
      </c>
      <c r="J194">
        <v>1</v>
      </c>
      <c r="K194">
        <v>34.375</v>
      </c>
      <c r="L194">
        <v>0</v>
      </c>
      <c r="M194">
        <v>44000</v>
      </c>
      <c r="N194">
        <v>0</v>
      </c>
      <c r="O194">
        <v>44000</v>
      </c>
      <c r="P194">
        <v>0</v>
      </c>
      <c r="Q194" t="s">
        <v>5</v>
      </c>
      <c r="R194">
        <v>0</v>
      </c>
      <c r="S194">
        <v>0</v>
      </c>
      <c r="T194">
        <v>-44000</v>
      </c>
      <c r="U194">
        <v>44000</v>
      </c>
      <c r="V194" s="59">
        <v>46203</v>
      </c>
    </row>
    <row r="195" spans="1:22" x14ac:dyDescent="0.35">
      <c r="A195" t="s">
        <v>675</v>
      </c>
      <c r="B195" s="58">
        <v>46148.333333333336</v>
      </c>
      <c r="C195" s="58">
        <v>46175.708333333336</v>
      </c>
      <c r="D195" t="s">
        <v>5</v>
      </c>
      <c r="E195" t="s">
        <v>5</v>
      </c>
      <c r="F195" t="s">
        <v>357</v>
      </c>
      <c r="G195">
        <v>0</v>
      </c>
      <c r="H195">
        <v>145</v>
      </c>
      <c r="J195">
        <v>1</v>
      </c>
      <c r="K195">
        <v>27.375</v>
      </c>
      <c r="L195">
        <v>0</v>
      </c>
      <c r="M195">
        <v>31755</v>
      </c>
      <c r="N195">
        <v>0</v>
      </c>
      <c r="O195">
        <v>31755</v>
      </c>
      <c r="P195">
        <v>0</v>
      </c>
      <c r="Q195" t="s">
        <v>5</v>
      </c>
      <c r="R195">
        <v>0</v>
      </c>
      <c r="S195">
        <v>0</v>
      </c>
      <c r="T195">
        <v>-31755</v>
      </c>
      <c r="U195">
        <v>31755</v>
      </c>
      <c r="V195" s="59">
        <v>46203</v>
      </c>
    </row>
    <row r="196" spans="1:22" x14ac:dyDescent="0.35">
      <c r="A196" t="s">
        <v>441</v>
      </c>
      <c r="B196" s="58">
        <v>46189.333333333336</v>
      </c>
      <c r="C196" s="58">
        <v>46202.708333333336</v>
      </c>
      <c r="D196" t="s">
        <v>5</v>
      </c>
      <c r="E196" t="s">
        <v>5</v>
      </c>
      <c r="F196" t="s">
        <v>429</v>
      </c>
      <c r="G196">
        <v>0</v>
      </c>
      <c r="H196">
        <v>160</v>
      </c>
      <c r="J196">
        <v>1</v>
      </c>
      <c r="K196">
        <v>13.375</v>
      </c>
      <c r="L196">
        <v>0</v>
      </c>
      <c r="M196">
        <v>17120</v>
      </c>
      <c r="N196">
        <v>0</v>
      </c>
      <c r="O196">
        <v>17120</v>
      </c>
      <c r="P196">
        <v>0</v>
      </c>
      <c r="Q196" t="s">
        <v>5</v>
      </c>
      <c r="R196">
        <v>0</v>
      </c>
      <c r="S196">
        <v>0</v>
      </c>
      <c r="T196">
        <v>-17120</v>
      </c>
      <c r="U196">
        <v>17120</v>
      </c>
      <c r="V196" s="59">
        <v>46203</v>
      </c>
    </row>
    <row r="197" spans="1:22" x14ac:dyDescent="0.35">
      <c r="A197" t="s">
        <v>443</v>
      </c>
      <c r="B197" s="58">
        <v>46203.333333333336</v>
      </c>
      <c r="C197" s="58">
        <v>46230.708333333336</v>
      </c>
      <c r="D197" t="s">
        <v>5</v>
      </c>
      <c r="E197" t="s">
        <v>5</v>
      </c>
      <c r="F197" t="s">
        <v>444</v>
      </c>
      <c r="G197">
        <v>0</v>
      </c>
      <c r="H197">
        <v>120</v>
      </c>
      <c r="J197">
        <v>1</v>
      </c>
      <c r="K197">
        <v>27.375</v>
      </c>
      <c r="L197">
        <v>0</v>
      </c>
      <c r="M197">
        <v>26280</v>
      </c>
      <c r="N197">
        <v>0</v>
      </c>
      <c r="O197">
        <v>26280</v>
      </c>
      <c r="P197">
        <v>0</v>
      </c>
      <c r="Q197" t="s">
        <v>5</v>
      </c>
      <c r="R197">
        <v>0</v>
      </c>
      <c r="S197">
        <v>0</v>
      </c>
      <c r="T197">
        <v>-26280</v>
      </c>
      <c r="U197">
        <v>26280</v>
      </c>
      <c r="V197" s="59">
        <v>46234</v>
      </c>
    </row>
    <row r="198" spans="1:22" x14ac:dyDescent="0.35">
      <c r="A198" t="s">
        <v>446</v>
      </c>
      <c r="B198" s="58">
        <v>46231.333333333336</v>
      </c>
      <c r="C198" s="58">
        <v>46233.708333333336</v>
      </c>
      <c r="D198" t="s">
        <v>5</v>
      </c>
      <c r="E198" t="s">
        <v>5</v>
      </c>
      <c r="F198" t="s">
        <v>444</v>
      </c>
      <c r="G198">
        <v>0</v>
      </c>
      <c r="H198">
        <v>120</v>
      </c>
      <c r="J198">
        <v>1</v>
      </c>
      <c r="K198">
        <v>2.375</v>
      </c>
      <c r="L198">
        <v>0</v>
      </c>
      <c r="M198">
        <v>2280</v>
      </c>
      <c r="N198">
        <v>0</v>
      </c>
      <c r="O198">
        <v>2280</v>
      </c>
      <c r="P198">
        <v>0</v>
      </c>
      <c r="Q198" t="s">
        <v>5</v>
      </c>
      <c r="R198">
        <v>0</v>
      </c>
      <c r="S198">
        <v>0</v>
      </c>
      <c r="T198">
        <v>-2280</v>
      </c>
      <c r="U198">
        <v>2280</v>
      </c>
      <c r="V198" s="59">
        <v>46234</v>
      </c>
    </row>
    <row r="199" spans="1:22" x14ac:dyDescent="0.35">
      <c r="A199" t="s">
        <v>450</v>
      </c>
      <c r="B199" s="58">
        <v>46203.333333333336</v>
      </c>
      <c r="C199" s="58">
        <v>46209.708333333336</v>
      </c>
      <c r="D199" t="s">
        <v>5</v>
      </c>
      <c r="E199" t="s">
        <v>5</v>
      </c>
      <c r="F199" t="s">
        <v>444</v>
      </c>
      <c r="G199">
        <v>0</v>
      </c>
      <c r="H199">
        <v>120</v>
      </c>
      <c r="J199">
        <v>1</v>
      </c>
      <c r="K199">
        <v>6.375</v>
      </c>
      <c r="L199">
        <v>0</v>
      </c>
      <c r="M199">
        <v>6120</v>
      </c>
      <c r="N199">
        <v>0</v>
      </c>
      <c r="O199">
        <v>6120</v>
      </c>
      <c r="P199">
        <v>0</v>
      </c>
      <c r="Q199" t="s">
        <v>5</v>
      </c>
      <c r="R199">
        <v>0</v>
      </c>
      <c r="S199">
        <v>0</v>
      </c>
      <c r="T199">
        <v>-6120</v>
      </c>
      <c r="U199">
        <v>6120</v>
      </c>
      <c r="V199" s="59">
        <v>46234</v>
      </c>
    </row>
    <row r="200" spans="1:22" x14ac:dyDescent="0.35">
      <c r="A200" t="s">
        <v>18</v>
      </c>
      <c r="B200" s="58">
        <v>46248.333333333336</v>
      </c>
      <c r="C200" t="s">
        <v>5</v>
      </c>
      <c r="D200" t="s">
        <v>5</v>
      </c>
      <c r="E200" t="s">
        <v>5</v>
      </c>
      <c r="F200" t="s">
        <v>5</v>
      </c>
      <c r="G200">
        <v>0</v>
      </c>
      <c r="H200" t="s">
        <v>5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5</v>
      </c>
      <c r="R200" t="s">
        <v>5</v>
      </c>
      <c r="S200">
        <v>0</v>
      </c>
      <c r="T200">
        <v>0</v>
      </c>
      <c r="U200">
        <v>0</v>
      </c>
      <c r="V200" s="59">
        <v>46265</v>
      </c>
    </row>
    <row r="201" spans="1:22" x14ac:dyDescent="0.35">
      <c r="A201" t="s">
        <v>20</v>
      </c>
      <c r="B201" t="s">
        <v>5</v>
      </c>
      <c r="C201" s="58">
        <v>46259.708333333336</v>
      </c>
      <c r="D201" t="s">
        <v>5</v>
      </c>
      <c r="E201" t="s">
        <v>5</v>
      </c>
      <c r="F201" t="s">
        <v>5</v>
      </c>
      <c r="G201">
        <v>0</v>
      </c>
      <c r="H201" t="s">
        <v>5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</v>
      </c>
      <c r="R201" t="s">
        <v>5</v>
      </c>
      <c r="S201">
        <v>0</v>
      </c>
      <c r="T201">
        <v>0</v>
      </c>
      <c r="U201">
        <v>0</v>
      </c>
      <c r="V201" s="59">
        <v>46265</v>
      </c>
    </row>
    <row r="202" spans="1:22" x14ac:dyDescent="0.35">
      <c r="A202" t="s">
        <v>448</v>
      </c>
      <c r="B202" s="58">
        <v>46234.333333333336</v>
      </c>
      <c r="C202" s="58">
        <v>46247.708333333336</v>
      </c>
      <c r="D202" t="s">
        <v>5</v>
      </c>
      <c r="E202" t="s">
        <v>5</v>
      </c>
      <c r="F202" t="s">
        <v>444</v>
      </c>
      <c r="G202">
        <v>0</v>
      </c>
      <c r="H202">
        <v>120</v>
      </c>
      <c r="J202">
        <v>1</v>
      </c>
      <c r="K202">
        <v>13.375</v>
      </c>
      <c r="L202">
        <v>0</v>
      </c>
      <c r="M202">
        <v>12840</v>
      </c>
      <c r="N202">
        <v>0</v>
      </c>
      <c r="O202">
        <v>12840</v>
      </c>
      <c r="P202">
        <v>0</v>
      </c>
      <c r="Q202" t="s">
        <v>5</v>
      </c>
      <c r="R202">
        <v>0</v>
      </c>
      <c r="S202">
        <v>0</v>
      </c>
      <c r="T202">
        <v>-12840</v>
      </c>
      <c r="U202">
        <v>12840</v>
      </c>
      <c r="V202" s="59">
        <v>46265</v>
      </c>
    </row>
    <row r="203" spans="1:22" x14ac:dyDescent="0.35">
      <c r="A203" t="s">
        <v>452</v>
      </c>
      <c r="B203" s="58">
        <v>46248.333333333336</v>
      </c>
      <c r="C203" t="s">
        <v>5</v>
      </c>
      <c r="D203" t="s">
        <v>5</v>
      </c>
      <c r="E203" t="s">
        <v>5</v>
      </c>
      <c r="F203" t="s">
        <v>5</v>
      </c>
      <c r="G203">
        <v>0</v>
      </c>
      <c r="H203" t="s">
        <v>5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</v>
      </c>
      <c r="R203" t="s">
        <v>5</v>
      </c>
      <c r="S203">
        <v>0</v>
      </c>
      <c r="T203">
        <v>0</v>
      </c>
      <c r="U203">
        <v>0</v>
      </c>
      <c r="V203" s="59">
        <v>46265</v>
      </c>
    </row>
    <row r="204" spans="1:22" x14ac:dyDescent="0.35">
      <c r="A204" t="s">
        <v>454</v>
      </c>
      <c r="B204" s="58">
        <v>46248.333333333336</v>
      </c>
      <c r="C204" s="58">
        <v>46258.708333333336</v>
      </c>
      <c r="D204" t="s">
        <v>5</v>
      </c>
      <c r="E204" t="s">
        <v>5</v>
      </c>
      <c r="F204" t="s">
        <v>444</v>
      </c>
      <c r="G204">
        <v>0</v>
      </c>
      <c r="H204">
        <v>120</v>
      </c>
      <c r="J204">
        <v>1</v>
      </c>
      <c r="K204">
        <v>10.375</v>
      </c>
      <c r="L204">
        <v>0</v>
      </c>
      <c r="M204">
        <v>9960</v>
      </c>
      <c r="N204">
        <v>0</v>
      </c>
      <c r="O204">
        <v>9960</v>
      </c>
      <c r="P204">
        <v>0</v>
      </c>
      <c r="Q204" t="s">
        <v>5</v>
      </c>
      <c r="R204">
        <v>0</v>
      </c>
      <c r="S204">
        <v>0</v>
      </c>
      <c r="T204">
        <v>-9960</v>
      </c>
      <c r="U204">
        <v>9960</v>
      </c>
      <c r="V204" s="59">
        <v>46265</v>
      </c>
    </row>
    <row r="205" spans="1:22" x14ac:dyDescent="0.35">
      <c r="A205" t="s">
        <v>22</v>
      </c>
      <c r="B205" t="s">
        <v>5</v>
      </c>
      <c r="C205" s="58">
        <v>46287.708333333336</v>
      </c>
      <c r="D205" t="s">
        <v>5</v>
      </c>
      <c r="E205" t="s">
        <v>5</v>
      </c>
      <c r="F205" t="s">
        <v>5</v>
      </c>
      <c r="G205">
        <v>0</v>
      </c>
      <c r="H205" t="s">
        <v>5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</v>
      </c>
      <c r="R205" t="s">
        <v>5</v>
      </c>
      <c r="S205">
        <v>0</v>
      </c>
      <c r="T205">
        <v>0</v>
      </c>
      <c r="U205">
        <v>0</v>
      </c>
      <c r="V205" s="59">
        <v>46295</v>
      </c>
    </row>
    <row r="206" spans="1:22" x14ac:dyDescent="0.35">
      <c r="A206" t="s">
        <v>456</v>
      </c>
      <c r="B206" s="58">
        <v>46259.333333333336</v>
      </c>
      <c r="C206" s="58">
        <v>46272.708333333336</v>
      </c>
      <c r="D206" t="s">
        <v>5</v>
      </c>
      <c r="E206" t="s">
        <v>5</v>
      </c>
      <c r="F206" t="s">
        <v>429</v>
      </c>
      <c r="G206">
        <v>0</v>
      </c>
      <c r="H206">
        <v>160</v>
      </c>
      <c r="J206">
        <v>1</v>
      </c>
      <c r="K206">
        <v>13.375</v>
      </c>
      <c r="L206">
        <v>0</v>
      </c>
      <c r="M206">
        <v>17120</v>
      </c>
      <c r="N206">
        <v>0</v>
      </c>
      <c r="O206">
        <v>17120</v>
      </c>
      <c r="P206">
        <v>0</v>
      </c>
      <c r="Q206" t="s">
        <v>5</v>
      </c>
      <c r="R206">
        <v>0</v>
      </c>
      <c r="S206">
        <v>0</v>
      </c>
      <c r="T206">
        <v>-17120</v>
      </c>
      <c r="U206">
        <v>17120</v>
      </c>
      <c r="V206" s="59">
        <v>46295</v>
      </c>
    </row>
    <row r="207" spans="1:22" x14ac:dyDescent="0.35">
      <c r="A207" t="s">
        <v>461</v>
      </c>
      <c r="B207" s="58">
        <v>46259.333333333336</v>
      </c>
      <c r="C207" s="58">
        <v>46286.708333333336</v>
      </c>
      <c r="D207" t="s">
        <v>5</v>
      </c>
      <c r="E207" t="s">
        <v>5</v>
      </c>
      <c r="F207" t="s">
        <v>459</v>
      </c>
      <c r="G207">
        <v>0</v>
      </c>
      <c r="H207">
        <v>95</v>
      </c>
      <c r="J207">
        <v>1</v>
      </c>
      <c r="K207">
        <v>27.375</v>
      </c>
      <c r="L207">
        <v>0</v>
      </c>
      <c r="M207">
        <v>20805</v>
      </c>
      <c r="N207">
        <v>0</v>
      </c>
      <c r="O207">
        <v>20805</v>
      </c>
      <c r="P207">
        <v>0</v>
      </c>
      <c r="Q207" t="s">
        <v>5</v>
      </c>
      <c r="R207">
        <v>0</v>
      </c>
      <c r="S207">
        <v>0</v>
      </c>
      <c r="T207">
        <v>-20805</v>
      </c>
      <c r="U207">
        <v>20805</v>
      </c>
      <c r="V207" s="59">
        <v>46295</v>
      </c>
    </row>
    <row r="208" spans="1:22" x14ac:dyDescent="0.35">
      <c r="A208" t="s">
        <v>463</v>
      </c>
      <c r="B208" s="58">
        <v>46259.333333333336</v>
      </c>
      <c r="C208" s="58">
        <v>46286.708333333336</v>
      </c>
      <c r="D208" t="s">
        <v>5</v>
      </c>
      <c r="E208" t="s">
        <v>5</v>
      </c>
      <c r="F208" t="s">
        <v>459</v>
      </c>
      <c r="G208">
        <v>0</v>
      </c>
      <c r="H208">
        <v>95</v>
      </c>
      <c r="J208">
        <v>1</v>
      </c>
      <c r="K208">
        <v>27.375</v>
      </c>
      <c r="L208">
        <v>0</v>
      </c>
      <c r="M208">
        <v>20805</v>
      </c>
      <c r="N208">
        <v>0</v>
      </c>
      <c r="O208">
        <v>20805</v>
      </c>
      <c r="P208">
        <v>0</v>
      </c>
      <c r="Q208" t="s">
        <v>5</v>
      </c>
      <c r="R208">
        <v>0</v>
      </c>
      <c r="S208">
        <v>0</v>
      </c>
      <c r="T208">
        <v>-20805</v>
      </c>
      <c r="U208">
        <v>20805</v>
      </c>
      <c r="V208" s="59">
        <v>46295</v>
      </c>
    </row>
    <row r="209" spans="1:22" x14ac:dyDescent="0.35">
      <c r="A209" t="s">
        <v>465</v>
      </c>
      <c r="B209" s="58">
        <v>46259.333333333336</v>
      </c>
      <c r="C209" s="58">
        <v>46279.708333333336</v>
      </c>
      <c r="D209" t="s">
        <v>5</v>
      </c>
      <c r="E209" t="s">
        <v>5</v>
      </c>
      <c r="F209" t="s">
        <v>466</v>
      </c>
      <c r="G209">
        <v>0</v>
      </c>
      <c r="H209">
        <v>90</v>
      </c>
      <c r="J209">
        <v>1</v>
      </c>
      <c r="K209">
        <v>20.375</v>
      </c>
      <c r="L209">
        <v>0</v>
      </c>
      <c r="M209">
        <v>14670</v>
      </c>
      <c r="N209">
        <v>0</v>
      </c>
      <c r="O209">
        <v>14670</v>
      </c>
      <c r="P209">
        <v>0</v>
      </c>
      <c r="Q209" t="s">
        <v>5</v>
      </c>
      <c r="R209">
        <v>0</v>
      </c>
      <c r="S209">
        <v>0</v>
      </c>
      <c r="T209">
        <v>-14670</v>
      </c>
      <c r="U209">
        <v>14670</v>
      </c>
      <c r="V209" s="59">
        <v>46295</v>
      </c>
    </row>
    <row r="210" spans="1:22" x14ac:dyDescent="0.35">
      <c r="A210" t="s">
        <v>24</v>
      </c>
      <c r="B210" t="s">
        <v>5</v>
      </c>
      <c r="C210" s="58">
        <v>46315.708333333336</v>
      </c>
      <c r="D210" t="s">
        <v>5</v>
      </c>
      <c r="E210" t="s">
        <v>5</v>
      </c>
      <c r="F210" t="s">
        <v>5</v>
      </c>
      <c r="G210">
        <v>0</v>
      </c>
      <c r="H210" t="s">
        <v>5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</v>
      </c>
      <c r="R210" t="s">
        <v>5</v>
      </c>
      <c r="S210">
        <v>0</v>
      </c>
      <c r="T210">
        <v>0</v>
      </c>
      <c r="U210">
        <v>0</v>
      </c>
      <c r="V210" s="59">
        <v>46326</v>
      </c>
    </row>
    <row r="211" spans="1:22" x14ac:dyDescent="0.35">
      <c r="A211" t="s">
        <v>458</v>
      </c>
      <c r="B211" s="58">
        <v>46287.333333333336</v>
      </c>
      <c r="C211" s="58">
        <v>46314.708333333336</v>
      </c>
      <c r="D211" t="s">
        <v>5</v>
      </c>
      <c r="E211" t="s">
        <v>5</v>
      </c>
      <c r="F211" t="s">
        <v>5</v>
      </c>
      <c r="G211">
        <v>0</v>
      </c>
      <c r="H211" t="s">
        <v>5</v>
      </c>
      <c r="J211">
        <v>1</v>
      </c>
      <c r="K211">
        <v>27.375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</v>
      </c>
      <c r="R211" t="s">
        <v>5</v>
      </c>
      <c r="S211">
        <v>0</v>
      </c>
      <c r="T211">
        <v>0</v>
      </c>
      <c r="U211">
        <v>0</v>
      </c>
      <c r="V211" s="59">
        <v>46326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F8BE-02BF-4F42-87D2-B99D10119985}">
  <dimension ref="A1:B15"/>
  <sheetViews>
    <sheetView showGridLines="0" view="pageBreakPreview" zoomScale="115" zoomScaleNormal="130" zoomScaleSheetLayoutView="115" workbookViewId="0">
      <selection activeCell="B2" sqref="B2"/>
    </sheetView>
  </sheetViews>
  <sheetFormatPr defaultColWidth="9.1796875" defaultRowHeight="12.5" x14ac:dyDescent="0.25"/>
  <cols>
    <col min="1" max="1" width="42.81640625" style="8" customWidth="1"/>
    <col min="2" max="2" width="63.1796875" style="8" customWidth="1"/>
    <col min="3" max="16384" width="9.1796875" style="8"/>
  </cols>
  <sheetData>
    <row r="1" spans="1:2" ht="23.25" customHeight="1" x14ac:dyDescent="0.25"/>
    <row r="2" spans="1:2" ht="13" x14ac:dyDescent="0.3">
      <c r="A2" s="64" t="s">
        <v>707</v>
      </c>
      <c r="B2" s="61" t="s">
        <v>721</v>
      </c>
    </row>
    <row r="3" spans="1:2" ht="13" x14ac:dyDescent="0.3">
      <c r="A3" s="64" t="s">
        <v>708</v>
      </c>
      <c r="B3" s="62">
        <v>46087</v>
      </c>
    </row>
    <row r="4" spans="1:2" ht="13" x14ac:dyDescent="0.3">
      <c r="A4" s="64" t="s">
        <v>709</v>
      </c>
      <c r="B4" s="61" t="s">
        <v>722</v>
      </c>
    </row>
    <row r="6" spans="1:2" ht="13" x14ac:dyDescent="0.3">
      <c r="A6" s="71" t="s">
        <v>710</v>
      </c>
      <c r="B6" s="72"/>
    </row>
    <row r="7" spans="1:2" x14ac:dyDescent="0.25">
      <c r="A7" s="63" t="s">
        <v>711</v>
      </c>
      <c r="B7" s="18">
        <f>Table2[[#Totals],[BAC]]</f>
        <v>73608565</v>
      </c>
    </row>
    <row r="8" spans="1:2" x14ac:dyDescent="0.25">
      <c r="A8" s="63" t="s">
        <v>712</v>
      </c>
      <c r="B8" s="18">
        <f ca="1">Table2[[#Totals],[PV]]</f>
        <v>73144430</v>
      </c>
    </row>
    <row r="9" spans="1:2" x14ac:dyDescent="0.25">
      <c r="A9" s="63" t="s">
        <v>713</v>
      </c>
      <c r="B9" s="18">
        <f>Table2[[#Totals],[EV]]</f>
        <v>72978010.405999988</v>
      </c>
    </row>
    <row r="10" spans="1:2" x14ac:dyDescent="0.25">
      <c r="A10" s="63" t="s">
        <v>714</v>
      </c>
      <c r="B10" s="18">
        <f>Table2[[#Totals],[AC]]</f>
        <v>72935839.999999836</v>
      </c>
    </row>
    <row r="11" spans="1:2" x14ac:dyDescent="0.25">
      <c r="A11" s="63" t="s">
        <v>715</v>
      </c>
      <c r="B11" s="70">
        <f>B9/B10</f>
        <v>1.0005781849636632</v>
      </c>
    </row>
    <row r="12" spans="1:2" x14ac:dyDescent="0.25">
      <c r="A12" s="63" t="s">
        <v>716</v>
      </c>
      <c r="B12" s="70">
        <f ca="1">B9/B8</f>
        <v>0.99772478103937634</v>
      </c>
    </row>
    <row r="13" spans="1:2" x14ac:dyDescent="0.25">
      <c r="A13" s="63" t="s">
        <v>717</v>
      </c>
      <c r="B13" s="18">
        <f>B9-B10</f>
        <v>42170.40600015223</v>
      </c>
    </row>
    <row r="14" spans="1:2" x14ac:dyDescent="0.25">
      <c r="A14" s="63" t="s">
        <v>718</v>
      </c>
      <c r="B14" s="18">
        <f ca="1">B9-B8</f>
        <v>-166419.59400001168</v>
      </c>
    </row>
    <row r="15" spans="1:2" x14ac:dyDescent="0.25">
      <c r="A15" s="63" t="s">
        <v>719</v>
      </c>
      <c r="B15" s="18">
        <f>B7/B11</f>
        <v>73566030.227486074</v>
      </c>
    </row>
  </sheetData>
  <pageMargins left="1" right="1" top="1" bottom="1" header="0.5" footer="0.5"/>
  <pageSetup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AFD4-1801-41D1-9D74-E5D1F92F6D6D}">
  <dimension ref="A3:G30"/>
  <sheetViews>
    <sheetView showGridLines="0" tabSelected="1" view="pageBreakPreview" zoomScale="60" zoomScaleNormal="61" workbookViewId="0">
      <selection activeCell="T19" sqref="T19"/>
    </sheetView>
  </sheetViews>
  <sheetFormatPr defaultRowHeight="14.5" x14ac:dyDescent="0.35"/>
  <cols>
    <col min="1" max="1" width="13.453125" bestFit="1" customWidth="1"/>
    <col min="2" max="4" width="13.81640625" bestFit="1" customWidth="1"/>
    <col min="5" max="5" width="14.81640625" bestFit="1" customWidth="1"/>
    <col min="6" max="7" width="15" bestFit="1" customWidth="1"/>
  </cols>
  <sheetData>
    <row r="3" spans="1:7" x14ac:dyDescent="0.35">
      <c r="A3" s="73" t="s">
        <v>723</v>
      </c>
      <c r="B3" s="73" t="s">
        <v>700</v>
      </c>
      <c r="C3" s="73" t="s">
        <v>701</v>
      </c>
      <c r="D3" s="73" t="s">
        <v>702</v>
      </c>
      <c r="E3" s="74" t="s">
        <v>703</v>
      </c>
      <c r="F3" s="74" t="s">
        <v>704</v>
      </c>
      <c r="G3" s="74" t="s">
        <v>705</v>
      </c>
    </row>
    <row r="4" spans="1:7" x14ac:dyDescent="0.35">
      <c r="A4" s="55">
        <v>45565</v>
      </c>
      <c r="B4" s="56">
        <v>0</v>
      </c>
      <c r="C4" s="56">
        <v>0</v>
      </c>
      <c r="D4" s="56">
        <v>0</v>
      </c>
      <c r="E4" s="56">
        <f>SUM($B$4:B4)</f>
        <v>0</v>
      </c>
      <c r="F4" s="56">
        <f>SUM($C$4:C4)</f>
        <v>0</v>
      </c>
      <c r="G4" s="56">
        <f>SUM($D$4:D4)</f>
        <v>0</v>
      </c>
    </row>
    <row r="5" spans="1:7" x14ac:dyDescent="0.35">
      <c r="A5" s="55">
        <v>45596</v>
      </c>
      <c r="B5" s="56">
        <v>132830</v>
      </c>
      <c r="C5" s="56">
        <v>132830</v>
      </c>
      <c r="D5" s="56">
        <v>132830</v>
      </c>
      <c r="E5" s="56">
        <f>SUM($B$4:B5)</f>
        <v>132830</v>
      </c>
      <c r="F5" s="56">
        <f>SUM($C$4:C5)</f>
        <v>132830</v>
      </c>
      <c r="G5" s="56">
        <f>SUM($D$4:D5)</f>
        <v>132830</v>
      </c>
    </row>
    <row r="6" spans="1:7" x14ac:dyDescent="0.35">
      <c r="A6" s="55">
        <v>45626</v>
      </c>
      <c r="B6" s="56">
        <v>2655570</v>
      </c>
      <c r="C6" s="56">
        <v>2655570</v>
      </c>
      <c r="D6" s="56">
        <v>2656930</v>
      </c>
      <c r="E6" s="56">
        <f>SUM($B$4:B6)</f>
        <v>2788400</v>
      </c>
      <c r="F6" s="56">
        <f>SUM($C$4:C6)</f>
        <v>2788400</v>
      </c>
      <c r="G6" s="56">
        <f>SUM($D$4:D6)</f>
        <v>2789760</v>
      </c>
    </row>
    <row r="7" spans="1:7" x14ac:dyDescent="0.35">
      <c r="A7" s="55">
        <v>45657</v>
      </c>
      <c r="B7" s="56">
        <v>208325</v>
      </c>
      <c r="C7" s="56">
        <v>208325</v>
      </c>
      <c r="D7" s="56">
        <v>208325</v>
      </c>
      <c r="E7" s="56">
        <f>SUM($B$4:B7)</f>
        <v>2996725</v>
      </c>
      <c r="F7" s="56">
        <f>SUM($C$4:C7)</f>
        <v>2996725</v>
      </c>
      <c r="G7" s="56">
        <f>SUM($D$4:D7)</f>
        <v>2998085</v>
      </c>
    </row>
    <row r="8" spans="1:7" x14ac:dyDescent="0.35">
      <c r="A8" s="55">
        <v>45688</v>
      </c>
      <c r="B8" s="56">
        <v>346815</v>
      </c>
      <c r="C8" s="56">
        <v>346815</v>
      </c>
      <c r="D8" s="56">
        <v>346815</v>
      </c>
      <c r="E8" s="56">
        <f>SUM($B$4:B8)</f>
        <v>3343540</v>
      </c>
      <c r="F8" s="56">
        <f>SUM($C$4:C8)</f>
        <v>3343540</v>
      </c>
      <c r="G8" s="56">
        <f>SUM($D$4:D8)</f>
        <v>3344900</v>
      </c>
    </row>
    <row r="9" spans="1:7" x14ac:dyDescent="0.35">
      <c r="A9" s="55">
        <v>45716</v>
      </c>
      <c r="B9" s="56">
        <v>4779745</v>
      </c>
      <c r="C9" s="56">
        <v>4779745</v>
      </c>
      <c r="D9" s="56">
        <v>4779745</v>
      </c>
      <c r="E9" s="56">
        <f>SUM($B$4:B9)</f>
        <v>8123285</v>
      </c>
      <c r="F9" s="56">
        <f>SUM($C$4:C9)</f>
        <v>8123285</v>
      </c>
      <c r="G9" s="56">
        <f>SUM($D$4:D9)</f>
        <v>8124645</v>
      </c>
    </row>
    <row r="10" spans="1:7" x14ac:dyDescent="0.35">
      <c r="A10" s="55">
        <v>45747</v>
      </c>
      <c r="B10" s="56">
        <v>136770</v>
      </c>
      <c r="C10" s="56">
        <v>93894.906000000003</v>
      </c>
      <c r="D10" s="56">
        <v>41940</v>
      </c>
      <c r="E10" s="56">
        <f>SUM($B$4:B10)</f>
        <v>8260055</v>
      </c>
      <c r="F10" s="56">
        <f>SUM($C$4:C10)</f>
        <v>8217179.9060000004</v>
      </c>
      <c r="G10" s="56">
        <f>SUM($D$4:D10)</f>
        <v>8166585</v>
      </c>
    </row>
    <row r="11" spans="1:7" x14ac:dyDescent="0.35">
      <c r="A11" s="55">
        <v>45777</v>
      </c>
      <c r="B11" s="56">
        <v>88255</v>
      </c>
      <c r="C11" s="56">
        <v>88255</v>
      </c>
      <c r="D11" s="56">
        <v>92220</v>
      </c>
      <c r="E11" s="56">
        <f>SUM($B$4:B11)</f>
        <v>8348310</v>
      </c>
      <c r="F11" s="56">
        <f>SUM($C$4:C11)</f>
        <v>8305434.9060000004</v>
      </c>
      <c r="G11" s="56">
        <f>SUM($D$4:D11)</f>
        <v>8258805</v>
      </c>
    </row>
    <row r="12" spans="1:7" x14ac:dyDescent="0.35">
      <c r="A12" s="55">
        <v>45808</v>
      </c>
      <c r="B12" s="56">
        <v>71430</v>
      </c>
      <c r="C12" s="56">
        <v>71430</v>
      </c>
      <c r="D12" s="56">
        <v>77181.666666627279</v>
      </c>
      <c r="E12" s="56">
        <f>SUM($B$4:B12)</f>
        <v>8419740</v>
      </c>
      <c r="F12" s="56">
        <f>SUM($C$4:C12)</f>
        <v>8376864.9060000004</v>
      </c>
      <c r="G12" s="56">
        <f>SUM($D$4:D12)</f>
        <v>8335986.6666666269</v>
      </c>
    </row>
    <row r="13" spans="1:7" x14ac:dyDescent="0.35">
      <c r="A13" s="55">
        <v>45838</v>
      </c>
      <c r="B13" s="56">
        <v>85880</v>
      </c>
      <c r="C13" s="56">
        <v>85625</v>
      </c>
      <c r="D13" s="56">
        <v>85625</v>
      </c>
      <c r="E13" s="56">
        <f>SUM($B$4:B13)</f>
        <v>8505620</v>
      </c>
      <c r="F13" s="56">
        <f>SUM($C$4:C13)</f>
        <v>8462489.9059999995</v>
      </c>
      <c r="G13" s="56">
        <f>SUM($D$4:D13)</f>
        <v>8421611.6666666269</v>
      </c>
    </row>
    <row r="14" spans="1:7" x14ac:dyDescent="0.35">
      <c r="A14" s="55">
        <v>45869</v>
      </c>
      <c r="B14" s="56">
        <v>71170</v>
      </c>
      <c r="C14" s="56">
        <v>71170</v>
      </c>
      <c r="D14" s="56">
        <v>85736.666666704696</v>
      </c>
      <c r="E14" s="56">
        <f>SUM($B$4:B14)</f>
        <v>8576790</v>
      </c>
      <c r="F14" s="56">
        <f>SUM($C$4:C14)</f>
        <v>8533659.9059999995</v>
      </c>
      <c r="G14" s="56">
        <f>SUM($D$4:D14)</f>
        <v>8507348.3333333321</v>
      </c>
    </row>
    <row r="15" spans="1:7" x14ac:dyDescent="0.35">
      <c r="A15" s="55">
        <v>45900</v>
      </c>
      <c r="B15" s="56">
        <v>213260</v>
      </c>
      <c r="C15" s="56">
        <v>213260</v>
      </c>
      <c r="D15" s="56">
        <v>240100</v>
      </c>
      <c r="E15" s="56">
        <f>SUM($B$4:B15)</f>
        <v>8790050</v>
      </c>
      <c r="F15" s="56">
        <f>SUM($C$4:C15)</f>
        <v>8746919.9059999995</v>
      </c>
      <c r="G15" s="56">
        <f>SUM($D$4:D15)</f>
        <v>8747448.3333333321</v>
      </c>
    </row>
    <row r="16" spans="1:7" x14ac:dyDescent="0.35">
      <c r="A16" s="55">
        <v>45930</v>
      </c>
      <c r="B16" s="56">
        <v>62222940</v>
      </c>
      <c r="C16" s="56">
        <v>62222940</v>
      </c>
      <c r="D16" s="56">
        <v>62236440</v>
      </c>
      <c r="E16" s="56">
        <f>SUM($B$4:B16)</f>
        <v>71012990</v>
      </c>
      <c r="F16" s="56">
        <f>SUM($C$4:C16)</f>
        <v>70969859.906000003</v>
      </c>
      <c r="G16" s="56">
        <f>SUM($D$4:D16)</f>
        <v>70983888.333333328</v>
      </c>
    </row>
    <row r="17" spans="1:7" x14ac:dyDescent="0.35">
      <c r="A17" s="55">
        <v>45961</v>
      </c>
      <c r="B17" s="56">
        <v>349705</v>
      </c>
      <c r="C17" s="56">
        <v>349705</v>
      </c>
      <c r="D17" s="56">
        <v>351730</v>
      </c>
      <c r="E17" s="56">
        <f>SUM($B$4:B17)</f>
        <v>71362695</v>
      </c>
      <c r="F17" s="56">
        <f>SUM($C$4:C17)</f>
        <v>71319564.906000003</v>
      </c>
      <c r="G17" s="56">
        <f>SUM($D$4:D17)</f>
        <v>71335618.333333328</v>
      </c>
    </row>
    <row r="18" spans="1:7" x14ac:dyDescent="0.35">
      <c r="A18" s="55">
        <v>45991</v>
      </c>
      <c r="B18" s="56">
        <v>305110</v>
      </c>
      <c r="C18" s="56">
        <v>305110</v>
      </c>
      <c r="D18" s="56">
        <v>283690</v>
      </c>
      <c r="E18" s="56">
        <f>SUM($B$4:B18)</f>
        <v>71667805</v>
      </c>
      <c r="F18" s="56">
        <f>SUM($C$4:C18)</f>
        <v>71624674.906000003</v>
      </c>
      <c r="G18" s="56">
        <f>SUM($D$4:D18)</f>
        <v>71619308.333333328</v>
      </c>
    </row>
    <row r="19" spans="1:7" x14ac:dyDescent="0.35">
      <c r="A19" s="55">
        <v>46022</v>
      </c>
      <c r="B19" s="56">
        <v>533965</v>
      </c>
      <c r="C19" s="56">
        <v>533965</v>
      </c>
      <c r="D19" s="56">
        <v>533965</v>
      </c>
      <c r="E19" s="56">
        <f>SUM($B$4:B19)</f>
        <v>72201770</v>
      </c>
      <c r="F19" s="56">
        <f>SUM($C$4:C19)</f>
        <v>72158639.906000003</v>
      </c>
      <c r="G19" s="56">
        <f>SUM($D$4:D19)</f>
        <v>72153273.333333328</v>
      </c>
    </row>
    <row r="20" spans="1:7" x14ac:dyDescent="0.35">
      <c r="A20" s="55">
        <v>46053</v>
      </c>
      <c r="B20" s="56">
        <v>545170</v>
      </c>
      <c r="C20" s="56">
        <v>516750</v>
      </c>
      <c r="D20" s="56">
        <v>519004.99999988184</v>
      </c>
      <c r="E20" s="56">
        <f>SUM($B$4:B20)</f>
        <v>72746940</v>
      </c>
      <c r="F20" s="56">
        <f>SUM($C$4:C20)</f>
        <v>72675389.906000003</v>
      </c>
      <c r="G20" s="56">
        <f>SUM($D$4:D20)</f>
        <v>72672278.333333209</v>
      </c>
    </row>
    <row r="21" spans="1:7" x14ac:dyDescent="0.35">
      <c r="A21" s="55">
        <v>46081</v>
      </c>
      <c r="B21" s="56">
        <v>322425</v>
      </c>
      <c r="C21" s="56">
        <v>258610.5</v>
      </c>
      <c r="D21" s="56">
        <v>219551.66666662728</v>
      </c>
      <c r="E21" s="56">
        <f>SUM($B$4:B21)</f>
        <v>73069365</v>
      </c>
      <c r="F21" s="56">
        <f>SUM($C$4:C21)</f>
        <v>72934000.406000003</v>
      </c>
      <c r="G21" s="56">
        <f>SUM($D$4:D21)</f>
        <v>72891829.999999836</v>
      </c>
    </row>
    <row r="22" spans="1:7" x14ac:dyDescent="0.35">
      <c r="A22" s="55">
        <v>46112</v>
      </c>
      <c r="B22" s="56">
        <v>75065</v>
      </c>
      <c r="C22" s="56">
        <v>44010</v>
      </c>
      <c r="D22" s="56">
        <v>44010</v>
      </c>
      <c r="E22" s="56">
        <f>SUM($B$4:B22)</f>
        <v>73144430</v>
      </c>
      <c r="F22" s="56">
        <f>SUM($C$4:C22)</f>
        <v>72978010.406000003</v>
      </c>
      <c r="G22" s="56">
        <f>SUM($D$4:D22)</f>
        <v>72935839.999999836</v>
      </c>
    </row>
    <row r="23" spans="1:7" x14ac:dyDescent="0.35">
      <c r="A23" s="55">
        <v>46142</v>
      </c>
      <c r="B23" s="56">
        <v>0</v>
      </c>
      <c r="C23" s="56">
        <v>0</v>
      </c>
      <c r="D23" s="56">
        <v>0</v>
      </c>
      <c r="E23" s="56">
        <f>SUM($B$4:B23)</f>
        <v>73144430</v>
      </c>
      <c r="F23" s="56">
        <f>SUM($C$4:C23)</f>
        <v>72978010.406000003</v>
      </c>
      <c r="G23" s="56">
        <f>SUM($D$4:D23)</f>
        <v>72935839.999999836</v>
      </c>
    </row>
    <row r="24" spans="1:7" x14ac:dyDescent="0.35">
      <c r="A24" s="55">
        <v>46173</v>
      </c>
      <c r="B24" s="56">
        <v>0</v>
      </c>
      <c r="C24" s="56">
        <v>0</v>
      </c>
      <c r="D24" s="56">
        <v>0</v>
      </c>
      <c r="E24" s="56">
        <f>SUM($B$4:B24)</f>
        <v>73144430</v>
      </c>
      <c r="F24" s="56">
        <f>SUM($C$4:C24)</f>
        <v>72978010.406000003</v>
      </c>
      <c r="G24" s="56">
        <f>SUM($D$4:D24)</f>
        <v>72935839.999999836</v>
      </c>
    </row>
    <row r="25" spans="1:7" x14ac:dyDescent="0.35">
      <c r="A25" s="55">
        <v>46203</v>
      </c>
      <c r="B25" s="56">
        <v>0</v>
      </c>
      <c r="C25" s="56">
        <v>0</v>
      </c>
      <c r="D25" s="56">
        <v>0</v>
      </c>
      <c r="E25" s="56">
        <f>SUM($B$4:B25)</f>
        <v>73144430</v>
      </c>
      <c r="F25" s="56">
        <f>SUM($C$4:C25)</f>
        <v>72978010.406000003</v>
      </c>
      <c r="G25" s="56">
        <f>SUM($D$4:D25)</f>
        <v>72935839.999999836</v>
      </c>
    </row>
    <row r="26" spans="1:7" x14ac:dyDescent="0.35">
      <c r="A26" s="55">
        <v>46234</v>
      </c>
      <c r="B26" s="56">
        <v>0</v>
      </c>
      <c r="C26" s="56">
        <v>0</v>
      </c>
      <c r="D26" s="56">
        <v>0</v>
      </c>
      <c r="E26" s="56">
        <f>SUM($B$4:B26)</f>
        <v>73144430</v>
      </c>
      <c r="F26" s="56">
        <f>SUM($C$4:C26)</f>
        <v>72978010.406000003</v>
      </c>
      <c r="G26" s="56">
        <f>SUM($D$4:D26)</f>
        <v>72935839.999999836</v>
      </c>
    </row>
    <row r="27" spans="1:7" x14ac:dyDescent="0.35">
      <c r="A27" s="55">
        <v>46265</v>
      </c>
      <c r="B27" s="56">
        <v>0</v>
      </c>
      <c r="C27" s="56">
        <v>0</v>
      </c>
      <c r="D27" s="56">
        <v>0</v>
      </c>
      <c r="E27" s="56">
        <f>SUM($B$4:B27)</f>
        <v>73144430</v>
      </c>
      <c r="F27" s="56">
        <f>SUM($C$4:C27)</f>
        <v>72978010.406000003</v>
      </c>
      <c r="G27" s="56">
        <f>SUM($D$4:D27)</f>
        <v>72935839.999999836</v>
      </c>
    </row>
    <row r="28" spans="1:7" x14ac:dyDescent="0.35">
      <c r="A28" s="55">
        <v>46295</v>
      </c>
      <c r="B28" s="56">
        <v>0</v>
      </c>
      <c r="C28" s="56">
        <v>0</v>
      </c>
      <c r="D28" s="56">
        <v>0</v>
      </c>
      <c r="E28" s="56">
        <f>SUM($B$4:B28)</f>
        <v>73144430</v>
      </c>
      <c r="F28" s="56">
        <f>SUM($C$4:C28)</f>
        <v>72978010.406000003</v>
      </c>
      <c r="G28" s="56">
        <f>SUM($D$4:D28)</f>
        <v>72935839.999999836</v>
      </c>
    </row>
    <row r="29" spans="1:7" x14ac:dyDescent="0.35">
      <c r="A29" s="75">
        <v>46326</v>
      </c>
      <c r="B29" s="76">
        <v>0</v>
      </c>
      <c r="C29" s="76">
        <v>0</v>
      </c>
      <c r="D29" s="76">
        <v>0</v>
      </c>
      <c r="E29" s="76">
        <f>SUM($B$4:B29)</f>
        <v>73144430</v>
      </c>
      <c r="F29" s="76">
        <f>SUM($C$4:C29)</f>
        <v>72978010.406000003</v>
      </c>
      <c r="G29" s="76">
        <f>SUM($D$4:D29)</f>
        <v>72935839.999999836</v>
      </c>
    </row>
    <row r="30" spans="1:7" x14ac:dyDescent="0.35">
      <c r="A30" s="55" t="s">
        <v>699</v>
      </c>
      <c r="B30" s="56">
        <v>73144430</v>
      </c>
      <c r="C30" s="56">
        <v>72978010.406000003</v>
      </c>
      <c r="D30" s="56">
        <v>72935839.999999836</v>
      </c>
      <c r="E30" s="56"/>
      <c r="F30" s="60"/>
      <c r="G30" s="60"/>
    </row>
  </sheetData>
  <pageMargins left="0.7" right="0.7" top="0.75" bottom="0.75" header="0.3" footer="0.3"/>
  <pageSetup scale="48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50CD-6FDD-45CC-B0F0-65F24A8D9AF7}">
  <sheetPr>
    <pageSetUpPr fitToPage="1"/>
  </sheetPr>
  <dimension ref="A1:V213"/>
  <sheetViews>
    <sheetView showGridLines="0" zoomScaleNormal="100" workbookViewId="0">
      <pane xSplit="1" ySplit="3" topLeftCell="N4" activePane="bottomRight" state="frozen"/>
      <selection pane="topRight" activeCell="B1" sqref="B1"/>
      <selection pane="bottomLeft" activeCell="A4" sqref="A4"/>
      <selection pane="bottomRight" activeCell="Z15" sqref="Z15"/>
    </sheetView>
  </sheetViews>
  <sheetFormatPr defaultColWidth="9.1796875" defaultRowHeight="13" x14ac:dyDescent="0.3"/>
  <cols>
    <col min="1" max="1" width="45.26953125" style="9" bestFit="1" customWidth="1"/>
    <col min="2" max="2" width="22.81640625" style="12" customWidth="1"/>
    <col min="3" max="3" width="24.54296875" style="12" customWidth="1"/>
    <col min="4" max="5" width="20" style="12" bestFit="1" customWidth="1"/>
    <col min="6" max="6" width="32.7265625" style="9" bestFit="1" customWidth="1"/>
    <col min="7" max="7" width="24" style="13" customWidth="1"/>
    <col min="8" max="8" width="32" style="8" customWidth="1"/>
    <col min="9" max="9" width="19.7265625" style="17" customWidth="1"/>
    <col min="10" max="10" width="18.81640625" style="26" customWidth="1"/>
    <col min="11" max="11" width="25.81640625" style="15" bestFit="1" customWidth="1"/>
    <col min="12" max="12" width="23.7265625" style="8" bestFit="1" customWidth="1"/>
    <col min="13" max="13" width="13.81640625" style="17" bestFit="1" customWidth="1"/>
    <col min="14" max="16" width="13.81640625" style="8" bestFit="1" customWidth="1"/>
    <col min="17" max="17" width="13.1796875" style="8" bestFit="1" customWidth="1"/>
    <col min="18" max="18" width="13.1796875" style="13" bestFit="1" customWidth="1"/>
    <col min="19" max="20" width="10.81640625" style="8" bestFit="1" customWidth="1"/>
    <col min="21" max="21" width="13.81640625" style="8" bestFit="1" customWidth="1"/>
    <col min="22" max="22" width="16.54296875" style="8" customWidth="1"/>
    <col min="23" max="16384" width="9.1796875" style="8"/>
  </cols>
  <sheetData>
    <row r="1" spans="1:22" x14ac:dyDescent="0.3">
      <c r="A1" s="31" t="s">
        <v>697</v>
      </c>
      <c r="B1" s="20"/>
      <c r="C1" s="20"/>
    </row>
    <row r="2" spans="1:22" x14ac:dyDescent="0.3">
      <c r="A2" s="10" t="s">
        <v>678</v>
      </c>
      <c r="B2" s="11">
        <f ca="1">TODAY()</f>
        <v>46089</v>
      </c>
    </row>
    <row r="3" spans="1:22" x14ac:dyDescent="0.3">
      <c r="A3" s="10" t="s">
        <v>679</v>
      </c>
      <c r="B3" s="14">
        <v>8</v>
      </c>
    </row>
    <row r="4" spans="1:22" s="54" customFormat="1" ht="14.25" customHeight="1" x14ac:dyDescent="0.3">
      <c r="A4" s="46" t="s">
        <v>676</v>
      </c>
      <c r="B4" s="47" t="s">
        <v>649</v>
      </c>
      <c r="C4" s="47" t="s">
        <v>650</v>
      </c>
      <c r="D4" s="47" t="s">
        <v>651</v>
      </c>
      <c r="E4" s="47" t="s">
        <v>652</v>
      </c>
      <c r="F4" s="48" t="s">
        <v>677</v>
      </c>
      <c r="G4" s="49" t="s">
        <v>696</v>
      </c>
      <c r="H4" s="48" t="s">
        <v>686</v>
      </c>
      <c r="I4" s="50" t="s">
        <v>682</v>
      </c>
      <c r="J4" s="51" t="s">
        <v>685</v>
      </c>
      <c r="K4" s="52" t="s">
        <v>680</v>
      </c>
      <c r="L4" s="48" t="s">
        <v>681</v>
      </c>
      <c r="M4" s="50" t="s">
        <v>720</v>
      </c>
      <c r="N4" s="46" t="s">
        <v>691</v>
      </c>
      <c r="O4" s="48" t="s">
        <v>690</v>
      </c>
      <c r="P4" s="48" t="s">
        <v>689</v>
      </c>
      <c r="Q4" s="48" t="s">
        <v>687</v>
      </c>
      <c r="R4" s="49" t="s">
        <v>688</v>
      </c>
      <c r="S4" s="48" t="s">
        <v>693</v>
      </c>
      <c r="T4" s="48" t="s">
        <v>694</v>
      </c>
      <c r="U4" s="48" t="s">
        <v>695</v>
      </c>
      <c r="V4" s="53" t="s">
        <v>698</v>
      </c>
    </row>
    <row r="5" spans="1:22" s="24" customFormat="1" ht="14.5" x14ac:dyDescent="0.35">
      <c r="A5" s="32" t="s">
        <v>4</v>
      </c>
      <c r="B5" s="30">
        <v>45560.333333333299</v>
      </c>
      <c r="C5" s="30" t="s">
        <v>5</v>
      </c>
      <c r="D5" s="30">
        <v>45560.333333333299</v>
      </c>
      <c r="E5" s="30" t="s">
        <v>5</v>
      </c>
      <c r="F5" s="21" t="s">
        <v>5</v>
      </c>
      <c r="G5" s="25">
        <v>1</v>
      </c>
      <c r="H5" s="22"/>
      <c r="I5" s="23"/>
      <c r="J5" s="27">
        <v>1</v>
      </c>
      <c r="K5" s="29">
        <f>IFERROR(C5-B5, 0)</f>
        <v>0</v>
      </c>
      <c r="L5" s="29">
        <f>IFERROR(E5-D5, 0)</f>
        <v>0</v>
      </c>
      <c r="M5" s="19">
        <f t="shared" ref="M5:M68" si="0">IFERROR(H5*$B$3*K5*J5, 0)+I5</f>
        <v>0</v>
      </c>
      <c r="N5" s="18">
        <f t="shared" ref="N5:N68" si="1">IFERROR(H5*$B$3*L5*J5, 0)+I5</f>
        <v>0</v>
      </c>
      <c r="O5" s="18">
        <f ca="1">IF(Table2[[#This Row],[BL Project Start]]&gt;$B$2, 0,M5)</f>
        <v>0</v>
      </c>
      <c r="P5" s="18">
        <f t="shared" ref="P5:P68" si="2">M5*G5</f>
        <v>0</v>
      </c>
      <c r="Q5" s="14" t="str">
        <f t="shared" ref="Q5:Q68" si="3">IFERROR(P5/N5, "")</f>
        <v/>
      </c>
      <c r="R5" s="28" t="str">
        <f t="shared" ref="R5:R68" ca="1" si="4">IFERROR(P5/O5, "")</f>
        <v/>
      </c>
      <c r="S5" s="23">
        <f t="shared" ref="S5:S68" si="5">P5-N5</f>
        <v>0</v>
      </c>
      <c r="T5" s="23">
        <f t="shared" ref="T5:T68" ca="1" si="6">P5-O5</f>
        <v>0</v>
      </c>
      <c r="U5" s="23">
        <f t="shared" ref="U5:U68" si="7">N5+(M5-P5)</f>
        <v>0</v>
      </c>
      <c r="V5" s="33">
        <f>EOMONTH(IF($C5="",$B5,$C5),0)</f>
        <v>45565</v>
      </c>
    </row>
    <row r="6" spans="1:22" ht="14.5" x14ac:dyDescent="0.35">
      <c r="A6" s="32" t="s">
        <v>653</v>
      </c>
      <c r="B6" s="30" t="s">
        <v>5</v>
      </c>
      <c r="C6" s="30">
        <v>45814.708333333299</v>
      </c>
      <c r="D6" s="30" t="s">
        <v>5</v>
      </c>
      <c r="E6" s="30">
        <v>45817.708333333299</v>
      </c>
      <c r="F6" s="21" t="s">
        <v>5</v>
      </c>
      <c r="G6" s="25">
        <v>1</v>
      </c>
      <c r="H6" s="14" t="s">
        <v>5</v>
      </c>
      <c r="I6" s="18"/>
      <c r="J6" s="27">
        <v>1</v>
      </c>
      <c r="K6" s="29">
        <f t="shared" ref="K6:K69" si="8">IFERROR(C6-B6, 0)</f>
        <v>0</v>
      </c>
      <c r="L6" s="29">
        <f t="shared" ref="L6:L69" si="9">IFERROR(E6-D6, 0)</f>
        <v>0</v>
      </c>
      <c r="M6" s="19">
        <f t="shared" si="0"/>
        <v>0</v>
      </c>
      <c r="N6" s="18">
        <f t="shared" si="1"/>
        <v>0</v>
      </c>
      <c r="O6" s="18">
        <f ca="1">IF(Table2[[#This Row],[BL Project Start]]&gt;$B$2, 0,M6)</f>
        <v>0</v>
      </c>
      <c r="P6" s="18">
        <f t="shared" si="2"/>
        <v>0</v>
      </c>
      <c r="Q6" s="14" t="str">
        <f t="shared" si="3"/>
        <v/>
      </c>
      <c r="R6" s="28" t="str">
        <f t="shared" ca="1" si="4"/>
        <v/>
      </c>
      <c r="S6" s="23">
        <f t="shared" si="5"/>
        <v>0</v>
      </c>
      <c r="T6" s="23">
        <f t="shared" ca="1" si="6"/>
        <v>0</v>
      </c>
      <c r="U6" s="23">
        <f t="shared" si="7"/>
        <v>0</v>
      </c>
      <c r="V6" s="33">
        <f t="shared" ref="V6:V69" si="10">EOMONTH(IF($C6="",$B6,$C6),0)</f>
        <v>45838</v>
      </c>
    </row>
    <row r="7" spans="1:22" ht="14.5" x14ac:dyDescent="0.35">
      <c r="A7" s="32" t="s">
        <v>9</v>
      </c>
      <c r="B7" s="30" t="s">
        <v>5</v>
      </c>
      <c r="C7" s="30">
        <v>45932.708333333299</v>
      </c>
      <c r="D7" s="30" t="s">
        <v>5</v>
      </c>
      <c r="E7" s="30">
        <v>45933.708333333299</v>
      </c>
      <c r="F7" s="21" t="s">
        <v>5</v>
      </c>
      <c r="G7" s="25">
        <v>1</v>
      </c>
      <c r="H7" s="14" t="s">
        <v>5</v>
      </c>
      <c r="I7" s="18"/>
      <c r="J7" s="27">
        <v>1</v>
      </c>
      <c r="K7" s="29">
        <f t="shared" si="8"/>
        <v>0</v>
      </c>
      <c r="L7" s="29">
        <f t="shared" si="9"/>
        <v>0</v>
      </c>
      <c r="M7" s="19">
        <f t="shared" si="0"/>
        <v>0</v>
      </c>
      <c r="N7" s="18">
        <f t="shared" si="1"/>
        <v>0</v>
      </c>
      <c r="O7" s="18">
        <f ca="1">IF(Table2[[#This Row],[BL Project Start]]&gt;$B$2, 0,M7)</f>
        <v>0</v>
      </c>
      <c r="P7" s="18">
        <f t="shared" si="2"/>
        <v>0</v>
      </c>
      <c r="Q7" s="14" t="str">
        <f t="shared" si="3"/>
        <v/>
      </c>
      <c r="R7" s="28" t="str">
        <f t="shared" ca="1" si="4"/>
        <v/>
      </c>
      <c r="S7" s="23">
        <f t="shared" si="5"/>
        <v>0</v>
      </c>
      <c r="T7" s="23">
        <f t="shared" ca="1" si="6"/>
        <v>0</v>
      </c>
      <c r="U7" s="23">
        <f t="shared" si="7"/>
        <v>0</v>
      </c>
      <c r="V7" s="33">
        <f t="shared" si="10"/>
        <v>45961</v>
      </c>
    </row>
    <row r="8" spans="1:22" ht="14.5" x14ac:dyDescent="0.35">
      <c r="A8" s="32" t="s">
        <v>654</v>
      </c>
      <c r="B8" s="30" t="s">
        <v>5</v>
      </c>
      <c r="C8" s="30">
        <v>46154.708333333299</v>
      </c>
      <c r="D8" s="30" t="s">
        <v>5</v>
      </c>
      <c r="E8" s="30" t="s">
        <v>5</v>
      </c>
      <c r="F8" s="21" t="s">
        <v>5</v>
      </c>
      <c r="G8" s="25">
        <v>0</v>
      </c>
      <c r="H8" s="14" t="s">
        <v>5</v>
      </c>
      <c r="I8" s="18"/>
      <c r="J8" s="27">
        <v>1</v>
      </c>
      <c r="K8" s="29">
        <f t="shared" si="8"/>
        <v>0</v>
      </c>
      <c r="L8" s="29">
        <f t="shared" si="9"/>
        <v>0</v>
      </c>
      <c r="M8" s="19">
        <f t="shared" si="0"/>
        <v>0</v>
      </c>
      <c r="N8" s="18">
        <f t="shared" si="1"/>
        <v>0</v>
      </c>
      <c r="O8" s="18">
        <f ca="1">IF(Table2[[#This Row],[BL Project Start]]&gt;$B$2, 0,M8)</f>
        <v>0</v>
      </c>
      <c r="P8" s="18">
        <f t="shared" si="2"/>
        <v>0</v>
      </c>
      <c r="Q8" s="14" t="str">
        <f t="shared" si="3"/>
        <v/>
      </c>
      <c r="R8" s="28" t="str">
        <f t="shared" ca="1" si="4"/>
        <v/>
      </c>
      <c r="S8" s="23">
        <f t="shared" si="5"/>
        <v>0</v>
      </c>
      <c r="T8" s="23">
        <f t="shared" ca="1" si="6"/>
        <v>0</v>
      </c>
      <c r="U8" s="23">
        <f t="shared" si="7"/>
        <v>0</v>
      </c>
      <c r="V8" s="33">
        <f t="shared" si="10"/>
        <v>46173</v>
      </c>
    </row>
    <row r="9" spans="1:22" ht="14.5" x14ac:dyDescent="0.35">
      <c r="A9" s="32" t="s">
        <v>655</v>
      </c>
      <c r="B9" s="30" t="s">
        <v>5</v>
      </c>
      <c r="C9" s="30">
        <v>46108.708333333299</v>
      </c>
      <c r="D9" s="30" t="s">
        <v>5</v>
      </c>
      <c r="E9" s="30" t="s">
        <v>5</v>
      </c>
      <c r="F9" s="21" t="s">
        <v>5</v>
      </c>
      <c r="G9" s="25">
        <v>0</v>
      </c>
      <c r="H9" s="14" t="s">
        <v>5</v>
      </c>
      <c r="I9" s="18"/>
      <c r="J9" s="27">
        <v>1</v>
      </c>
      <c r="K9" s="29">
        <f t="shared" si="8"/>
        <v>0</v>
      </c>
      <c r="L9" s="29">
        <f t="shared" si="9"/>
        <v>0</v>
      </c>
      <c r="M9" s="19">
        <f t="shared" si="0"/>
        <v>0</v>
      </c>
      <c r="N9" s="18">
        <f t="shared" si="1"/>
        <v>0</v>
      </c>
      <c r="O9" s="18">
        <f ca="1">IF(Table2[[#This Row],[BL Project Start]]&gt;$B$2, 0,M9)</f>
        <v>0</v>
      </c>
      <c r="P9" s="18">
        <f t="shared" si="2"/>
        <v>0</v>
      </c>
      <c r="Q9" s="14" t="str">
        <f t="shared" si="3"/>
        <v/>
      </c>
      <c r="R9" s="28" t="str">
        <f t="shared" ca="1" si="4"/>
        <v/>
      </c>
      <c r="S9" s="23">
        <f t="shared" si="5"/>
        <v>0</v>
      </c>
      <c r="T9" s="23">
        <f t="shared" ca="1" si="6"/>
        <v>0</v>
      </c>
      <c r="U9" s="23">
        <f t="shared" si="7"/>
        <v>0</v>
      </c>
      <c r="V9" s="33">
        <f t="shared" si="10"/>
        <v>46112</v>
      </c>
    </row>
    <row r="10" spans="1:22" ht="14.5" x14ac:dyDescent="0.35">
      <c r="A10" s="32" t="s">
        <v>16</v>
      </c>
      <c r="B10" s="30">
        <v>46203.333333333299</v>
      </c>
      <c r="C10" s="30" t="s">
        <v>5</v>
      </c>
      <c r="D10" s="30" t="s">
        <v>5</v>
      </c>
      <c r="E10" s="30" t="s">
        <v>5</v>
      </c>
      <c r="F10" s="21" t="s">
        <v>5</v>
      </c>
      <c r="G10" s="25">
        <v>0</v>
      </c>
      <c r="H10" s="14" t="s">
        <v>5</v>
      </c>
      <c r="I10" s="18"/>
      <c r="J10" s="27">
        <v>1</v>
      </c>
      <c r="K10" s="29">
        <f t="shared" si="8"/>
        <v>0</v>
      </c>
      <c r="L10" s="29">
        <f t="shared" si="9"/>
        <v>0</v>
      </c>
      <c r="M10" s="19">
        <f t="shared" si="0"/>
        <v>0</v>
      </c>
      <c r="N10" s="18">
        <f t="shared" si="1"/>
        <v>0</v>
      </c>
      <c r="O10" s="18">
        <f ca="1">IF(Table2[[#This Row],[BL Project Start]]&gt;$B$2, 0,M10)</f>
        <v>0</v>
      </c>
      <c r="P10" s="18">
        <f t="shared" si="2"/>
        <v>0</v>
      </c>
      <c r="Q10" s="14" t="str">
        <f t="shared" si="3"/>
        <v/>
      </c>
      <c r="R10" s="28" t="str">
        <f t="shared" ca="1" si="4"/>
        <v/>
      </c>
      <c r="S10" s="23">
        <f t="shared" si="5"/>
        <v>0</v>
      </c>
      <c r="T10" s="23">
        <f t="shared" ca="1" si="6"/>
        <v>0</v>
      </c>
      <c r="U10" s="23">
        <f t="shared" si="7"/>
        <v>0</v>
      </c>
      <c r="V10" s="33">
        <f t="shared" si="10"/>
        <v>46203</v>
      </c>
    </row>
    <row r="11" spans="1:22" ht="14.5" x14ac:dyDescent="0.35">
      <c r="A11" s="32" t="s">
        <v>18</v>
      </c>
      <c r="B11" s="30">
        <v>46248.333333333299</v>
      </c>
      <c r="C11" s="30" t="s">
        <v>5</v>
      </c>
      <c r="D11" s="30" t="s">
        <v>5</v>
      </c>
      <c r="E11" s="30" t="s">
        <v>5</v>
      </c>
      <c r="F11" s="21" t="s">
        <v>5</v>
      </c>
      <c r="G11" s="25">
        <v>0</v>
      </c>
      <c r="H11" s="14" t="s">
        <v>5</v>
      </c>
      <c r="I11" s="18"/>
      <c r="J11" s="27">
        <v>1</v>
      </c>
      <c r="K11" s="29">
        <f t="shared" si="8"/>
        <v>0</v>
      </c>
      <c r="L11" s="29">
        <f t="shared" si="9"/>
        <v>0</v>
      </c>
      <c r="M11" s="19">
        <f t="shared" si="0"/>
        <v>0</v>
      </c>
      <c r="N11" s="18">
        <f t="shared" si="1"/>
        <v>0</v>
      </c>
      <c r="O11" s="18">
        <f ca="1">IF(Table2[[#This Row],[BL Project Start]]&gt;$B$2, 0,M11)</f>
        <v>0</v>
      </c>
      <c r="P11" s="18">
        <f t="shared" si="2"/>
        <v>0</v>
      </c>
      <c r="Q11" s="14" t="str">
        <f t="shared" si="3"/>
        <v/>
      </c>
      <c r="R11" s="28" t="str">
        <f t="shared" ca="1" si="4"/>
        <v/>
      </c>
      <c r="S11" s="23">
        <f t="shared" si="5"/>
        <v>0</v>
      </c>
      <c r="T11" s="23">
        <f t="shared" ca="1" si="6"/>
        <v>0</v>
      </c>
      <c r="U11" s="23">
        <f t="shared" si="7"/>
        <v>0</v>
      </c>
      <c r="V11" s="33">
        <f t="shared" si="10"/>
        <v>46265</v>
      </c>
    </row>
    <row r="12" spans="1:22" ht="14.5" x14ac:dyDescent="0.35">
      <c r="A12" s="32" t="s">
        <v>20</v>
      </c>
      <c r="B12" s="30" t="s">
        <v>5</v>
      </c>
      <c r="C12" s="30">
        <v>46259.708333333299</v>
      </c>
      <c r="D12" s="30" t="s">
        <v>5</v>
      </c>
      <c r="E12" s="30" t="s">
        <v>5</v>
      </c>
      <c r="F12" s="21" t="s">
        <v>5</v>
      </c>
      <c r="G12" s="25">
        <v>0</v>
      </c>
      <c r="H12" s="14" t="s">
        <v>5</v>
      </c>
      <c r="I12" s="18"/>
      <c r="J12" s="27">
        <v>1</v>
      </c>
      <c r="K12" s="29">
        <f t="shared" si="8"/>
        <v>0</v>
      </c>
      <c r="L12" s="29">
        <f t="shared" si="9"/>
        <v>0</v>
      </c>
      <c r="M12" s="19">
        <f t="shared" si="0"/>
        <v>0</v>
      </c>
      <c r="N12" s="18">
        <f t="shared" si="1"/>
        <v>0</v>
      </c>
      <c r="O12" s="18">
        <f ca="1">IF(Table2[[#This Row],[BL Project Start]]&gt;$B$2, 0,M12)</f>
        <v>0</v>
      </c>
      <c r="P12" s="18">
        <f t="shared" si="2"/>
        <v>0</v>
      </c>
      <c r="Q12" s="14" t="str">
        <f t="shared" si="3"/>
        <v/>
      </c>
      <c r="R12" s="28" t="str">
        <f t="shared" ca="1" si="4"/>
        <v/>
      </c>
      <c r="S12" s="23">
        <f t="shared" si="5"/>
        <v>0</v>
      </c>
      <c r="T12" s="23">
        <f t="shared" ca="1" si="6"/>
        <v>0</v>
      </c>
      <c r="U12" s="23">
        <f t="shared" si="7"/>
        <v>0</v>
      </c>
      <c r="V12" s="33">
        <f t="shared" si="10"/>
        <v>46265</v>
      </c>
    </row>
    <row r="13" spans="1:22" ht="14.5" x14ac:dyDescent="0.35">
      <c r="A13" s="32" t="s">
        <v>22</v>
      </c>
      <c r="B13" s="30" t="s">
        <v>5</v>
      </c>
      <c r="C13" s="30">
        <v>46287.708333333299</v>
      </c>
      <c r="D13" s="30" t="s">
        <v>5</v>
      </c>
      <c r="E13" s="30" t="s">
        <v>5</v>
      </c>
      <c r="F13" s="21" t="s">
        <v>5</v>
      </c>
      <c r="G13" s="25">
        <v>0</v>
      </c>
      <c r="H13" s="14" t="s">
        <v>5</v>
      </c>
      <c r="I13" s="18"/>
      <c r="J13" s="27">
        <v>1</v>
      </c>
      <c r="K13" s="29">
        <f t="shared" si="8"/>
        <v>0</v>
      </c>
      <c r="L13" s="29">
        <f t="shared" si="9"/>
        <v>0</v>
      </c>
      <c r="M13" s="19">
        <f t="shared" si="0"/>
        <v>0</v>
      </c>
      <c r="N13" s="18">
        <f t="shared" si="1"/>
        <v>0</v>
      </c>
      <c r="O13" s="18">
        <f ca="1">IF(Table2[[#This Row],[BL Project Start]]&gt;$B$2, 0,M13)</f>
        <v>0</v>
      </c>
      <c r="P13" s="18">
        <f t="shared" si="2"/>
        <v>0</v>
      </c>
      <c r="Q13" s="14" t="str">
        <f t="shared" si="3"/>
        <v/>
      </c>
      <c r="R13" s="28" t="str">
        <f t="shared" ca="1" si="4"/>
        <v/>
      </c>
      <c r="S13" s="23">
        <f t="shared" si="5"/>
        <v>0</v>
      </c>
      <c r="T13" s="23">
        <f t="shared" ca="1" si="6"/>
        <v>0</v>
      </c>
      <c r="U13" s="23">
        <f t="shared" si="7"/>
        <v>0</v>
      </c>
      <c r="V13" s="33">
        <f t="shared" si="10"/>
        <v>46295</v>
      </c>
    </row>
    <row r="14" spans="1:22" ht="14.5" x14ac:dyDescent="0.35">
      <c r="A14" s="32" t="s">
        <v>24</v>
      </c>
      <c r="B14" s="30" t="s">
        <v>5</v>
      </c>
      <c r="C14" s="30">
        <v>46315.708333333299</v>
      </c>
      <c r="D14" s="30" t="s">
        <v>5</v>
      </c>
      <c r="E14" s="30" t="s">
        <v>5</v>
      </c>
      <c r="F14" s="21" t="s">
        <v>5</v>
      </c>
      <c r="G14" s="25">
        <v>0</v>
      </c>
      <c r="H14" s="14" t="s">
        <v>5</v>
      </c>
      <c r="I14" s="18"/>
      <c r="J14" s="27">
        <v>1</v>
      </c>
      <c r="K14" s="29">
        <f t="shared" si="8"/>
        <v>0</v>
      </c>
      <c r="L14" s="29">
        <f t="shared" si="9"/>
        <v>0</v>
      </c>
      <c r="M14" s="19">
        <f t="shared" si="0"/>
        <v>0</v>
      </c>
      <c r="N14" s="18">
        <f t="shared" si="1"/>
        <v>0</v>
      </c>
      <c r="O14" s="18">
        <f ca="1">IF(Table2[[#This Row],[BL Project Start]]&gt;$B$2, 0,M14)</f>
        <v>0</v>
      </c>
      <c r="P14" s="18">
        <f t="shared" si="2"/>
        <v>0</v>
      </c>
      <c r="Q14" s="14" t="str">
        <f t="shared" si="3"/>
        <v/>
      </c>
      <c r="R14" s="28" t="str">
        <f t="shared" ca="1" si="4"/>
        <v/>
      </c>
      <c r="S14" s="23">
        <f t="shared" si="5"/>
        <v>0</v>
      </c>
      <c r="T14" s="23">
        <f t="shared" ca="1" si="6"/>
        <v>0</v>
      </c>
      <c r="U14" s="23">
        <f t="shared" si="7"/>
        <v>0</v>
      </c>
      <c r="V14" s="33">
        <f t="shared" si="10"/>
        <v>46326</v>
      </c>
    </row>
    <row r="15" spans="1:22" ht="14.5" x14ac:dyDescent="0.35">
      <c r="A15" s="32" t="s">
        <v>26</v>
      </c>
      <c r="B15" s="30">
        <v>45560.333333333299</v>
      </c>
      <c r="C15" s="30" t="s">
        <v>5</v>
      </c>
      <c r="D15" s="30" t="s">
        <v>5</v>
      </c>
      <c r="E15" s="30" t="s">
        <v>5</v>
      </c>
      <c r="F15" s="21" t="s">
        <v>5</v>
      </c>
      <c r="G15" s="25">
        <v>0</v>
      </c>
      <c r="H15" s="14" t="s">
        <v>5</v>
      </c>
      <c r="I15" s="18"/>
      <c r="J15" s="27">
        <v>1</v>
      </c>
      <c r="K15" s="29">
        <f t="shared" si="8"/>
        <v>0</v>
      </c>
      <c r="L15" s="29">
        <f t="shared" si="9"/>
        <v>0</v>
      </c>
      <c r="M15" s="19">
        <f t="shared" si="0"/>
        <v>0</v>
      </c>
      <c r="N15" s="18">
        <f t="shared" si="1"/>
        <v>0</v>
      </c>
      <c r="O15" s="18">
        <f ca="1">IF(Table2[[#This Row],[BL Project Start]]&gt;$B$2, 0,M15)</f>
        <v>0</v>
      </c>
      <c r="P15" s="18">
        <f t="shared" si="2"/>
        <v>0</v>
      </c>
      <c r="Q15" s="14" t="str">
        <f t="shared" si="3"/>
        <v/>
      </c>
      <c r="R15" s="28" t="str">
        <f t="shared" ca="1" si="4"/>
        <v/>
      </c>
      <c r="S15" s="23">
        <f t="shared" si="5"/>
        <v>0</v>
      </c>
      <c r="T15" s="23">
        <f t="shared" ca="1" si="6"/>
        <v>0</v>
      </c>
      <c r="U15" s="23">
        <f t="shared" si="7"/>
        <v>0</v>
      </c>
      <c r="V15" s="33">
        <f t="shared" si="10"/>
        <v>45565</v>
      </c>
    </row>
    <row r="16" spans="1:22" ht="14.5" x14ac:dyDescent="0.35">
      <c r="A16" s="32" t="s">
        <v>28</v>
      </c>
      <c r="B16" s="30">
        <v>45560.333333333299</v>
      </c>
      <c r="C16" s="30">
        <v>45569.708333333299</v>
      </c>
      <c r="D16" s="30">
        <v>45560.333333333299</v>
      </c>
      <c r="E16" s="30">
        <v>45569.708333333299</v>
      </c>
      <c r="F16" s="21" t="s">
        <v>29</v>
      </c>
      <c r="G16" s="25">
        <v>1</v>
      </c>
      <c r="H16" s="14">
        <v>140</v>
      </c>
      <c r="I16" s="18"/>
      <c r="J16" s="27">
        <v>1</v>
      </c>
      <c r="K16" s="29">
        <f t="shared" si="8"/>
        <v>9.375</v>
      </c>
      <c r="L16" s="29">
        <f t="shared" si="9"/>
        <v>9.375</v>
      </c>
      <c r="M16" s="19">
        <f t="shared" si="0"/>
        <v>10500</v>
      </c>
      <c r="N16" s="18">
        <f t="shared" si="1"/>
        <v>10500</v>
      </c>
      <c r="O16" s="18">
        <f ca="1">IF(Table2[[#This Row],[BL Project Start]]&gt;$B$2, 0,M16)</f>
        <v>10500</v>
      </c>
      <c r="P16" s="18">
        <f t="shared" si="2"/>
        <v>10500</v>
      </c>
      <c r="Q16" s="14">
        <f t="shared" si="3"/>
        <v>1</v>
      </c>
      <c r="R16" s="28">
        <f t="shared" ca="1" si="4"/>
        <v>1</v>
      </c>
      <c r="S16" s="23">
        <f t="shared" si="5"/>
        <v>0</v>
      </c>
      <c r="T16" s="23">
        <f t="shared" ca="1" si="6"/>
        <v>0</v>
      </c>
      <c r="U16" s="23">
        <f t="shared" si="7"/>
        <v>10500</v>
      </c>
      <c r="V16" s="33">
        <f t="shared" si="10"/>
        <v>45596</v>
      </c>
    </row>
    <row r="17" spans="1:22" ht="14.5" x14ac:dyDescent="0.35">
      <c r="A17" s="32" t="s">
        <v>31</v>
      </c>
      <c r="B17" s="30">
        <v>45572.333333333299</v>
      </c>
      <c r="C17" s="30">
        <v>45587.708333333299</v>
      </c>
      <c r="D17" s="30">
        <v>45572.333333333299</v>
      </c>
      <c r="E17" s="30">
        <v>45587.708333333299</v>
      </c>
      <c r="F17" s="21" t="s">
        <v>32</v>
      </c>
      <c r="G17" s="25">
        <v>1</v>
      </c>
      <c r="H17" s="14">
        <v>120</v>
      </c>
      <c r="I17" s="18"/>
      <c r="J17" s="27">
        <v>1</v>
      </c>
      <c r="K17" s="29">
        <f t="shared" si="8"/>
        <v>15.375</v>
      </c>
      <c r="L17" s="29">
        <f t="shared" si="9"/>
        <v>15.375</v>
      </c>
      <c r="M17" s="19">
        <f t="shared" si="0"/>
        <v>14760</v>
      </c>
      <c r="N17" s="18">
        <f t="shared" si="1"/>
        <v>14760</v>
      </c>
      <c r="O17" s="18">
        <f ca="1">IF(Table2[[#This Row],[BL Project Start]]&gt;$B$2, 0,M17)</f>
        <v>14760</v>
      </c>
      <c r="P17" s="18">
        <f t="shared" si="2"/>
        <v>14760</v>
      </c>
      <c r="Q17" s="14">
        <f t="shared" si="3"/>
        <v>1</v>
      </c>
      <c r="R17" s="28">
        <f t="shared" ca="1" si="4"/>
        <v>1</v>
      </c>
      <c r="S17" s="23">
        <f t="shared" si="5"/>
        <v>0</v>
      </c>
      <c r="T17" s="23">
        <f t="shared" ca="1" si="6"/>
        <v>0</v>
      </c>
      <c r="U17" s="23">
        <f t="shared" si="7"/>
        <v>14760</v>
      </c>
      <c r="V17" s="33">
        <f t="shared" si="10"/>
        <v>45596</v>
      </c>
    </row>
    <row r="18" spans="1:22" ht="14.5" x14ac:dyDescent="0.35">
      <c r="A18" s="32" t="s">
        <v>34</v>
      </c>
      <c r="B18" s="30">
        <v>45572.333333333299</v>
      </c>
      <c r="C18" s="30">
        <v>45576.708333333299</v>
      </c>
      <c r="D18" s="30">
        <v>45572.333333333299</v>
      </c>
      <c r="E18" s="30">
        <v>45576.708333333299</v>
      </c>
      <c r="F18" s="21" t="s">
        <v>35</v>
      </c>
      <c r="G18" s="25">
        <v>1</v>
      </c>
      <c r="H18" s="14">
        <v>120</v>
      </c>
      <c r="I18" s="18"/>
      <c r="J18" s="27">
        <v>1</v>
      </c>
      <c r="K18" s="29">
        <f t="shared" si="8"/>
        <v>4.375</v>
      </c>
      <c r="L18" s="29">
        <f t="shared" si="9"/>
        <v>4.375</v>
      </c>
      <c r="M18" s="19">
        <f t="shared" si="0"/>
        <v>4200</v>
      </c>
      <c r="N18" s="18">
        <f t="shared" si="1"/>
        <v>4200</v>
      </c>
      <c r="O18" s="18">
        <f ca="1">IF(Table2[[#This Row],[BL Project Start]]&gt;$B$2, 0,M18)</f>
        <v>4200</v>
      </c>
      <c r="P18" s="18">
        <f t="shared" si="2"/>
        <v>4200</v>
      </c>
      <c r="Q18" s="14">
        <f t="shared" si="3"/>
        <v>1</v>
      </c>
      <c r="R18" s="28">
        <f t="shared" ca="1" si="4"/>
        <v>1</v>
      </c>
      <c r="S18" s="23">
        <f t="shared" si="5"/>
        <v>0</v>
      </c>
      <c r="T18" s="23">
        <f t="shared" ca="1" si="6"/>
        <v>0</v>
      </c>
      <c r="U18" s="23">
        <f t="shared" si="7"/>
        <v>4200</v>
      </c>
      <c r="V18" s="33">
        <f t="shared" si="10"/>
        <v>45596</v>
      </c>
    </row>
    <row r="19" spans="1:22" ht="14.5" x14ac:dyDescent="0.35">
      <c r="A19" s="32" t="s">
        <v>37</v>
      </c>
      <c r="B19" s="30">
        <v>45588.333333333299</v>
      </c>
      <c r="C19" s="30">
        <v>45589.708333333299</v>
      </c>
      <c r="D19" s="30">
        <v>45588.333333333299</v>
      </c>
      <c r="E19" s="30">
        <v>45589.708333333299</v>
      </c>
      <c r="F19" s="21" t="s">
        <v>38</v>
      </c>
      <c r="G19" s="25">
        <v>1</v>
      </c>
      <c r="H19" s="14">
        <v>150</v>
      </c>
      <c r="I19" s="18"/>
      <c r="J19" s="27">
        <v>1</v>
      </c>
      <c r="K19" s="29">
        <f t="shared" si="8"/>
        <v>1.375</v>
      </c>
      <c r="L19" s="29">
        <f t="shared" si="9"/>
        <v>1.375</v>
      </c>
      <c r="M19" s="19">
        <f t="shared" si="0"/>
        <v>1650</v>
      </c>
      <c r="N19" s="18">
        <f t="shared" si="1"/>
        <v>1650</v>
      </c>
      <c r="O19" s="18">
        <f ca="1">IF(Table2[[#This Row],[BL Project Start]]&gt;$B$2, 0,M19)</f>
        <v>1650</v>
      </c>
      <c r="P19" s="18">
        <f t="shared" si="2"/>
        <v>1650</v>
      </c>
      <c r="Q19" s="14">
        <f t="shared" si="3"/>
        <v>1</v>
      </c>
      <c r="R19" s="28">
        <f t="shared" ca="1" si="4"/>
        <v>1</v>
      </c>
      <c r="S19" s="23">
        <f t="shared" si="5"/>
        <v>0</v>
      </c>
      <c r="T19" s="23">
        <f t="shared" ca="1" si="6"/>
        <v>0</v>
      </c>
      <c r="U19" s="23">
        <f t="shared" si="7"/>
        <v>1650</v>
      </c>
      <c r="V19" s="33">
        <f t="shared" si="10"/>
        <v>45596</v>
      </c>
    </row>
    <row r="20" spans="1:22" ht="14.5" x14ac:dyDescent="0.35">
      <c r="A20" s="32" t="s">
        <v>40</v>
      </c>
      <c r="B20" s="30">
        <v>45572.333333333299</v>
      </c>
      <c r="C20" s="30">
        <v>45581.708333333299</v>
      </c>
      <c r="D20" s="30">
        <v>45572.333333333299</v>
      </c>
      <c r="E20" s="30">
        <v>45581.708333333299</v>
      </c>
      <c r="F20" s="21" t="s">
        <v>29</v>
      </c>
      <c r="G20" s="25">
        <v>1</v>
      </c>
      <c r="H20" s="14">
        <v>140</v>
      </c>
      <c r="I20" s="18"/>
      <c r="J20" s="27">
        <v>1</v>
      </c>
      <c r="K20" s="29">
        <f t="shared" si="8"/>
        <v>9.375</v>
      </c>
      <c r="L20" s="29">
        <f t="shared" si="9"/>
        <v>9.375</v>
      </c>
      <c r="M20" s="19">
        <f t="shared" si="0"/>
        <v>10500</v>
      </c>
      <c r="N20" s="18">
        <f t="shared" si="1"/>
        <v>10500</v>
      </c>
      <c r="O20" s="18">
        <f ca="1">IF(Table2[[#This Row],[BL Project Start]]&gt;$B$2, 0,M20)</f>
        <v>10500</v>
      </c>
      <c r="P20" s="18">
        <f t="shared" si="2"/>
        <v>10500</v>
      </c>
      <c r="Q20" s="14">
        <f t="shared" si="3"/>
        <v>1</v>
      </c>
      <c r="R20" s="28">
        <f t="shared" ca="1" si="4"/>
        <v>1</v>
      </c>
      <c r="S20" s="23">
        <f t="shared" si="5"/>
        <v>0</v>
      </c>
      <c r="T20" s="23">
        <f t="shared" ca="1" si="6"/>
        <v>0</v>
      </c>
      <c r="U20" s="23">
        <f t="shared" si="7"/>
        <v>10500</v>
      </c>
      <c r="V20" s="33">
        <f t="shared" si="10"/>
        <v>45596</v>
      </c>
    </row>
    <row r="21" spans="1:22" ht="14.5" x14ac:dyDescent="0.35">
      <c r="A21" s="32" t="s">
        <v>42</v>
      </c>
      <c r="B21" s="30">
        <v>45572.333333333299</v>
      </c>
      <c r="C21" s="30">
        <v>45574.708333333299</v>
      </c>
      <c r="D21" s="30">
        <v>45572.333333333299</v>
      </c>
      <c r="E21" s="30">
        <v>45574.708333333299</v>
      </c>
      <c r="F21" s="21" t="s">
        <v>29</v>
      </c>
      <c r="G21" s="25">
        <v>1</v>
      </c>
      <c r="H21" s="14">
        <v>140</v>
      </c>
      <c r="I21" s="18"/>
      <c r="J21" s="27">
        <v>1</v>
      </c>
      <c r="K21" s="29">
        <f t="shared" si="8"/>
        <v>2.375</v>
      </c>
      <c r="L21" s="29">
        <f t="shared" si="9"/>
        <v>2.375</v>
      </c>
      <c r="M21" s="19">
        <f t="shared" si="0"/>
        <v>2660</v>
      </c>
      <c r="N21" s="18">
        <f t="shared" si="1"/>
        <v>2660</v>
      </c>
      <c r="O21" s="18">
        <f ca="1">IF(Table2[[#This Row],[BL Project Start]]&gt;$B$2, 0,M21)</f>
        <v>2660</v>
      </c>
      <c r="P21" s="18">
        <f t="shared" si="2"/>
        <v>2660</v>
      </c>
      <c r="Q21" s="14">
        <f t="shared" si="3"/>
        <v>1</v>
      </c>
      <c r="R21" s="28">
        <f t="shared" ca="1" si="4"/>
        <v>1</v>
      </c>
      <c r="S21" s="23">
        <f t="shared" si="5"/>
        <v>0</v>
      </c>
      <c r="T21" s="23">
        <f t="shared" ca="1" si="6"/>
        <v>0</v>
      </c>
      <c r="U21" s="23">
        <f t="shared" si="7"/>
        <v>2660</v>
      </c>
      <c r="V21" s="33">
        <f t="shared" si="10"/>
        <v>45596</v>
      </c>
    </row>
    <row r="22" spans="1:22" ht="14.5" x14ac:dyDescent="0.35">
      <c r="A22" s="32" t="s">
        <v>44</v>
      </c>
      <c r="B22" s="30">
        <v>45572.333333333299</v>
      </c>
      <c r="C22" s="30">
        <v>45574.708333333299</v>
      </c>
      <c r="D22" s="30">
        <v>45572.333333333299</v>
      </c>
      <c r="E22" s="30">
        <v>45574.708333333299</v>
      </c>
      <c r="F22" s="21" t="s">
        <v>29</v>
      </c>
      <c r="G22" s="25">
        <v>1</v>
      </c>
      <c r="H22" s="14">
        <v>140</v>
      </c>
      <c r="I22" s="18"/>
      <c r="J22" s="27">
        <v>1</v>
      </c>
      <c r="K22" s="29">
        <f t="shared" si="8"/>
        <v>2.375</v>
      </c>
      <c r="L22" s="29">
        <f t="shared" si="9"/>
        <v>2.375</v>
      </c>
      <c r="M22" s="19">
        <f t="shared" si="0"/>
        <v>2660</v>
      </c>
      <c r="N22" s="18">
        <f t="shared" si="1"/>
        <v>2660</v>
      </c>
      <c r="O22" s="18">
        <f ca="1">IF(Table2[[#This Row],[BL Project Start]]&gt;$B$2, 0,M22)</f>
        <v>2660</v>
      </c>
      <c r="P22" s="18">
        <f t="shared" si="2"/>
        <v>2660</v>
      </c>
      <c r="Q22" s="14">
        <f t="shared" si="3"/>
        <v>1</v>
      </c>
      <c r="R22" s="28">
        <f t="shared" ca="1" si="4"/>
        <v>1</v>
      </c>
      <c r="S22" s="23">
        <f t="shared" si="5"/>
        <v>0</v>
      </c>
      <c r="T22" s="23">
        <f t="shared" ca="1" si="6"/>
        <v>0</v>
      </c>
      <c r="U22" s="23">
        <f t="shared" si="7"/>
        <v>2660</v>
      </c>
      <c r="V22" s="33">
        <f t="shared" si="10"/>
        <v>45596</v>
      </c>
    </row>
    <row r="23" spans="1:22" ht="14.5" x14ac:dyDescent="0.35">
      <c r="A23" s="32" t="s">
        <v>46</v>
      </c>
      <c r="B23" s="30">
        <v>45561.333333333299</v>
      </c>
      <c r="C23" s="30">
        <v>45572.708333333299</v>
      </c>
      <c r="D23" s="30">
        <v>45561.333333333299</v>
      </c>
      <c r="E23" s="30">
        <v>45572.708333333299</v>
      </c>
      <c r="F23" s="21" t="s">
        <v>47</v>
      </c>
      <c r="G23" s="25">
        <v>1</v>
      </c>
      <c r="H23" s="14">
        <v>145</v>
      </c>
      <c r="I23" s="18"/>
      <c r="J23" s="27">
        <v>1</v>
      </c>
      <c r="K23" s="29">
        <f t="shared" si="8"/>
        <v>11.375</v>
      </c>
      <c r="L23" s="29">
        <f t="shared" si="9"/>
        <v>11.375</v>
      </c>
      <c r="M23" s="19">
        <f t="shared" si="0"/>
        <v>13195</v>
      </c>
      <c r="N23" s="18">
        <f t="shared" si="1"/>
        <v>13195</v>
      </c>
      <c r="O23" s="18">
        <f ca="1">IF(Table2[[#This Row],[BL Project Start]]&gt;$B$2, 0,M23)</f>
        <v>13195</v>
      </c>
      <c r="P23" s="18">
        <f t="shared" si="2"/>
        <v>13195</v>
      </c>
      <c r="Q23" s="14">
        <f t="shared" si="3"/>
        <v>1</v>
      </c>
      <c r="R23" s="28">
        <f t="shared" ca="1" si="4"/>
        <v>1</v>
      </c>
      <c r="S23" s="23">
        <f t="shared" si="5"/>
        <v>0</v>
      </c>
      <c r="T23" s="23">
        <f t="shared" ca="1" si="6"/>
        <v>0</v>
      </c>
      <c r="U23" s="23">
        <f t="shared" si="7"/>
        <v>13195</v>
      </c>
      <c r="V23" s="33">
        <f t="shared" si="10"/>
        <v>45596</v>
      </c>
    </row>
    <row r="24" spans="1:22" ht="14.5" x14ac:dyDescent="0.35">
      <c r="A24" s="32" t="s">
        <v>49</v>
      </c>
      <c r="B24" s="30">
        <v>45572.333333333299</v>
      </c>
      <c r="C24" s="30">
        <v>45582.708333333299</v>
      </c>
      <c r="D24" s="30">
        <v>45572.333333333299</v>
      </c>
      <c r="E24" s="30">
        <v>45582.708333333299</v>
      </c>
      <c r="F24" s="21" t="s">
        <v>50</v>
      </c>
      <c r="G24" s="25">
        <v>1</v>
      </c>
      <c r="H24" s="14">
        <v>135</v>
      </c>
      <c r="I24" s="18"/>
      <c r="J24" s="27">
        <v>1</v>
      </c>
      <c r="K24" s="29">
        <f t="shared" si="8"/>
        <v>10.375</v>
      </c>
      <c r="L24" s="29">
        <f t="shared" si="9"/>
        <v>10.375</v>
      </c>
      <c r="M24" s="19">
        <f t="shared" si="0"/>
        <v>11205</v>
      </c>
      <c r="N24" s="18">
        <f t="shared" si="1"/>
        <v>11205</v>
      </c>
      <c r="O24" s="18">
        <f ca="1">IF(Table2[[#This Row],[BL Project Start]]&gt;$B$2, 0,M24)</f>
        <v>11205</v>
      </c>
      <c r="P24" s="18">
        <f t="shared" si="2"/>
        <v>11205</v>
      </c>
      <c r="Q24" s="14">
        <f t="shared" si="3"/>
        <v>1</v>
      </c>
      <c r="R24" s="28">
        <f t="shared" ca="1" si="4"/>
        <v>1</v>
      </c>
      <c r="S24" s="23">
        <f t="shared" si="5"/>
        <v>0</v>
      </c>
      <c r="T24" s="23">
        <f t="shared" ca="1" si="6"/>
        <v>0</v>
      </c>
      <c r="U24" s="23">
        <f t="shared" si="7"/>
        <v>11205</v>
      </c>
      <c r="V24" s="33">
        <f t="shared" si="10"/>
        <v>45596</v>
      </c>
    </row>
    <row r="25" spans="1:22" ht="14.5" x14ac:dyDescent="0.35">
      <c r="A25" s="32" t="s">
        <v>52</v>
      </c>
      <c r="B25" s="30">
        <v>45583.333333333299</v>
      </c>
      <c r="C25" s="30">
        <v>45594.708333333299</v>
      </c>
      <c r="D25" s="30">
        <v>45583.333333333299</v>
      </c>
      <c r="E25" s="30">
        <v>45594.708333333299</v>
      </c>
      <c r="F25" s="21" t="s">
        <v>50</v>
      </c>
      <c r="G25" s="25">
        <v>1</v>
      </c>
      <c r="H25" s="14">
        <v>135</v>
      </c>
      <c r="I25" s="18"/>
      <c r="J25" s="27">
        <v>1</v>
      </c>
      <c r="K25" s="29">
        <f t="shared" si="8"/>
        <v>11.375</v>
      </c>
      <c r="L25" s="29">
        <f t="shared" si="9"/>
        <v>11.375</v>
      </c>
      <c r="M25" s="19">
        <f t="shared" si="0"/>
        <v>12285</v>
      </c>
      <c r="N25" s="18">
        <f t="shared" si="1"/>
        <v>12285</v>
      </c>
      <c r="O25" s="18">
        <f ca="1">IF(Table2[[#This Row],[BL Project Start]]&gt;$B$2, 0,M25)</f>
        <v>12285</v>
      </c>
      <c r="P25" s="18">
        <f t="shared" si="2"/>
        <v>12285</v>
      </c>
      <c r="Q25" s="14">
        <f t="shared" si="3"/>
        <v>1</v>
      </c>
      <c r="R25" s="28">
        <f t="shared" ca="1" si="4"/>
        <v>1</v>
      </c>
      <c r="S25" s="23">
        <f t="shared" si="5"/>
        <v>0</v>
      </c>
      <c r="T25" s="23">
        <f t="shared" ca="1" si="6"/>
        <v>0</v>
      </c>
      <c r="U25" s="23">
        <f t="shared" si="7"/>
        <v>12285</v>
      </c>
      <c r="V25" s="33">
        <f t="shared" si="10"/>
        <v>45596</v>
      </c>
    </row>
    <row r="26" spans="1:22" ht="14.5" x14ac:dyDescent="0.35">
      <c r="A26" s="32" t="s">
        <v>54</v>
      </c>
      <c r="B26" s="30">
        <v>45572.333333333299</v>
      </c>
      <c r="C26" s="30">
        <v>45581.708333333299</v>
      </c>
      <c r="D26" s="30">
        <v>45572.333333333299</v>
      </c>
      <c r="E26" s="30">
        <v>45581.708333333299</v>
      </c>
      <c r="F26" s="21" t="s">
        <v>55</v>
      </c>
      <c r="G26" s="25">
        <v>1</v>
      </c>
      <c r="H26" s="14">
        <v>85</v>
      </c>
      <c r="I26" s="18"/>
      <c r="J26" s="27">
        <v>1</v>
      </c>
      <c r="K26" s="29">
        <f t="shared" si="8"/>
        <v>9.375</v>
      </c>
      <c r="L26" s="29">
        <f t="shared" si="9"/>
        <v>9.375</v>
      </c>
      <c r="M26" s="19">
        <f t="shared" si="0"/>
        <v>6375</v>
      </c>
      <c r="N26" s="18">
        <f t="shared" si="1"/>
        <v>6375</v>
      </c>
      <c r="O26" s="18">
        <f ca="1">IF(Table2[[#This Row],[BL Project Start]]&gt;$B$2, 0,M26)</f>
        <v>6375</v>
      </c>
      <c r="P26" s="18">
        <f t="shared" si="2"/>
        <v>6375</v>
      </c>
      <c r="Q26" s="14">
        <f t="shared" si="3"/>
        <v>1</v>
      </c>
      <c r="R26" s="28">
        <f t="shared" ca="1" si="4"/>
        <v>1</v>
      </c>
      <c r="S26" s="23">
        <f t="shared" si="5"/>
        <v>0</v>
      </c>
      <c r="T26" s="23">
        <f t="shared" ca="1" si="6"/>
        <v>0</v>
      </c>
      <c r="U26" s="23">
        <f t="shared" si="7"/>
        <v>6375</v>
      </c>
      <c r="V26" s="33">
        <f t="shared" si="10"/>
        <v>45596</v>
      </c>
    </row>
    <row r="27" spans="1:22" ht="14.5" x14ac:dyDescent="0.35">
      <c r="A27" s="32" t="s">
        <v>57</v>
      </c>
      <c r="B27" s="30">
        <v>45693.333333333299</v>
      </c>
      <c r="C27" s="30">
        <v>45702.708333333299</v>
      </c>
      <c r="D27" s="30">
        <v>45693.333333333299</v>
      </c>
      <c r="E27" s="30">
        <v>45702.708333333299</v>
      </c>
      <c r="F27" s="21" t="s">
        <v>47</v>
      </c>
      <c r="G27" s="25">
        <v>1</v>
      </c>
      <c r="H27" s="14">
        <v>145</v>
      </c>
      <c r="I27" s="18"/>
      <c r="J27" s="27">
        <v>1</v>
      </c>
      <c r="K27" s="29">
        <f t="shared" si="8"/>
        <v>9.375</v>
      </c>
      <c r="L27" s="29">
        <f t="shared" si="9"/>
        <v>9.375</v>
      </c>
      <c r="M27" s="19">
        <f t="shared" si="0"/>
        <v>10875</v>
      </c>
      <c r="N27" s="18">
        <f t="shared" si="1"/>
        <v>10875</v>
      </c>
      <c r="O27" s="18">
        <f ca="1">IF(Table2[[#This Row],[BL Project Start]]&gt;$B$2, 0,M27)</f>
        <v>10875</v>
      </c>
      <c r="P27" s="18">
        <f t="shared" si="2"/>
        <v>10875</v>
      </c>
      <c r="Q27" s="14">
        <f t="shared" si="3"/>
        <v>1</v>
      </c>
      <c r="R27" s="28">
        <f t="shared" ca="1" si="4"/>
        <v>1</v>
      </c>
      <c r="S27" s="23">
        <f t="shared" si="5"/>
        <v>0</v>
      </c>
      <c r="T27" s="23">
        <f t="shared" ca="1" si="6"/>
        <v>0</v>
      </c>
      <c r="U27" s="23">
        <f t="shared" si="7"/>
        <v>10875</v>
      </c>
      <c r="V27" s="33">
        <f t="shared" si="10"/>
        <v>45716</v>
      </c>
    </row>
    <row r="28" spans="1:22" ht="14.5" x14ac:dyDescent="0.35">
      <c r="A28" s="32" t="s">
        <v>59</v>
      </c>
      <c r="B28" s="30">
        <v>45757.333333333299</v>
      </c>
      <c r="C28" s="30">
        <v>45768.708333333299</v>
      </c>
      <c r="D28" s="30">
        <v>45757.333333333299</v>
      </c>
      <c r="E28" s="30">
        <v>45769.333333333299</v>
      </c>
      <c r="F28" s="21" t="s">
        <v>47</v>
      </c>
      <c r="G28" s="25">
        <v>1</v>
      </c>
      <c r="H28" s="14">
        <v>145</v>
      </c>
      <c r="I28" s="18"/>
      <c r="J28" s="27">
        <v>1</v>
      </c>
      <c r="K28" s="29">
        <f t="shared" si="8"/>
        <v>11.375</v>
      </c>
      <c r="L28" s="29">
        <f t="shared" si="9"/>
        <v>12</v>
      </c>
      <c r="M28" s="19">
        <f t="shared" si="0"/>
        <v>13195</v>
      </c>
      <c r="N28" s="18">
        <f t="shared" si="1"/>
        <v>13920</v>
      </c>
      <c r="O28" s="18">
        <f ca="1">IF(Table2[[#This Row],[BL Project Start]]&gt;$B$2, 0,M28)</f>
        <v>13195</v>
      </c>
      <c r="P28" s="18">
        <f t="shared" si="2"/>
        <v>13195</v>
      </c>
      <c r="Q28" s="14">
        <f t="shared" si="3"/>
        <v>0.94791666666666663</v>
      </c>
      <c r="R28" s="28">
        <f t="shared" ca="1" si="4"/>
        <v>1</v>
      </c>
      <c r="S28" s="23">
        <f t="shared" si="5"/>
        <v>-725</v>
      </c>
      <c r="T28" s="23">
        <f t="shared" ca="1" si="6"/>
        <v>0</v>
      </c>
      <c r="U28" s="23">
        <f t="shared" si="7"/>
        <v>13920</v>
      </c>
      <c r="V28" s="33">
        <f t="shared" si="10"/>
        <v>45777</v>
      </c>
    </row>
    <row r="29" spans="1:22" ht="14.5" x14ac:dyDescent="0.35">
      <c r="A29" s="32" t="s">
        <v>61</v>
      </c>
      <c r="B29" s="30">
        <v>45798.333333333299</v>
      </c>
      <c r="C29" s="30">
        <v>45807.708333333299</v>
      </c>
      <c r="D29" s="30">
        <v>45798</v>
      </c>
      <c r="E29" s="30">
        <v>45812.333333333299</v>
      </c>
      <c r="F29" s="21" t="s">
        <v>47</v>
      </c>
      <c r="G29" s="25">
        <v>1</v>
      </c>
      <c r="H29" s="14">
        <v>145</v>
      </c>
      <c r="I29" s="18"/>
      <c r="J29" s="27">
        <v>1</v>
      </c>
      <c r="K29" s="29">
        <f t="shared" si="8"/>
        <v>9.375</v>
      </c>
      <c r="L29" s="29">
        <f t="shared" si="9"/>
        <v>14.333333333299379</v>
      </c>
      <c r="M29" s="19">
        <f t="shared" si="0"/>
        <v>10875</v>
      </c>
      <c r="N29" s="18">
        <f t="shared" si="1"/>
        <v>16626.666666627279</v>
      </c>
      <c r="O29" s="18">
        <f ca="1">IF(Table2[[#This Row],[BL Project Start]]&gt;$B$2, 0,M29)</f>
        <v>10875</v>
      </c>
      <c r="P29" s="18">
        <f t="shared" si="2"/>
        <v>10875</v>
      </c>
      <c r="Q29" s="14">
        <f t="shared" si="3"/>
        <v>0.65406976744340994</v>
      </c>
      <c r="R29" s="28">
        <f t="shared" ca="1" si="4"/>
        <v>1</v>
      </c>
      <c r="S29" s="23">
        <f t="shared" si="5"/>
        <v>-5751.6666666272795</v>
      </c>
      <c r="T29" s="23">
        <f t="shared" ca="1" si="6"/>
        <v>0</v>
      </c>
      <c r="U29" s="23">
        <f t="shared" si="7"/>
        <v>16626.666666627279</v>
      </c>
      <c r="V29" s="33">
        <f t="shared" si="10"/>
        <v>45808</v>
      </c>
    </row>
    <row r="30" spans="1:22" ht="14.5" x14ac:dyDescent="0.35">
      <c r="A30" s="32" t="s">
        <v>63</v>
      </c>
      <c r="B30" s="30">
        <v>45583.333333333299</v>
      </c>
      <c r="C30" s="30">
        <v>45601.708333333299</v>
      </c>
      <c r="D30" s="30">
        <v>45583.333333333299</v>
      </c>
      <c r="E30" s="30">
        <v>45601.708333333299</v>
      </c>
      <c r="F30" s="21" t="s">
        <v>50</v>
      </c>
      <c r="G30" s="25">
        <v>1</v>
      </c>
      <c r="H30" s="14">
        <v>135</v>
      </c>
      <c r="I30" s="18"/>
      <c r="J30" s="27">
        <v>1</v>
      </c>
      <c r="K30" s="29">
        <f t="shared" si="8"/>
        <v>18.375</v>
      </c>
      <c r="L30" s="29">
        <f t="shared" si="9"/>
        <v>18.375</v>
      </c>
      <c r="M30" s="19">
        <f t="shared" si="0"/>
        <v>19845</v>
      </c>
      <c r="N30" s="18">
        <f t="shared" si="1"/>
        <v>19845</v>
      </c>
      <c r="O30" s="18">
        <f ca="1">IF(Table2[[#This Row],[BL Project Start]]&gt;$B$2, 0,M30)</f>
        <v>19845</v>
      </c>
      <c r="P30" s="18">
        <f t="shared" si="2"/>
        <v>19845</v>
      </c>
      <c r="Q30" s="14">
        <f t="shared" si="3"/>
        <v>1</v>
      </c>
      <c r="R30" s="28">
        <f t="shared" ca="1" si="4"/>
        <v>1</v>
      </c>
      <c r="S30" s="23">
        <f t="shared" si="5"/>
        <v>0</v>
      </c>
      <c r="T30" s="23">
        <f t="shared" ca="1" si="6"/>
        <v>0</v>
      </c>
      <c r="U30" s="23">
        <f t="shared" si="7"/>
        <v>19845</v>
      </c>
      <c r="V30" s="33">
        <f t="shared" si="10"/>
        <v>45626</v>
      </c>
    </row>
    <row r="31" spans="1:22" ht="14.5" x14ac:dyDescent="0.35">
      <c r="A31" s="32" t="s">
        <v>656</v>
      </c>
      <c r="B31" s="30">
        <v>45604.333333333299</v>
      </c>
      <c r="C31" s="30">
        <v>45617.708333333299</v>
      </c>
      <c r="D31" s="30">
        <v>45604.333333333299</v>
      </c>
      <c r="E31" s="30">
        <v>45617.708333333299</v>
      </c>
      <c r="F31" s="21" t="s">
        <v>50</v>
      </c>
      <c r="G31" s="25">
        <v>1</v>
      </c>
      <c r="H31" s="14">
        <v>135</v>
      </c>
      <c r="I31" s="18"/>
      <c r="J31" s="27">
        <v>1</v>
      </c>
      <c r="K31" s="29">
        <f t="shared" si="8"/>
        <v>13.375</v>
      </c>
      <c r="L31" s="29">
        <f t="shared" si="9"/>
        <v>13.375</v>
      </c>
      <c r="M31" s="19">
        <f t="shared" si="0"/>
        <v>14445</v>
      </c>
      <c r="N31" s="18">
        <f t="shared" si="1"/>
        <v>14445</v>
      </c>
      <c r="O31" s="18">
        <f ca="1">IF(Table2[[#This Row],[BL Project Start]]&gt;$B$2, 0,M31)</f>
        <v>14445</v>
      </c>
      <c r="P31" s="18">
        <f t="shared" si="2"/>
        <v>14445</v>
      </c>
      <c r="Q31" s="14">
        <f t="shared" si="3"/>
        <v>1</v>
      </c>
      <c r="R31" s="28">
        <f t="shared" ca="1" si="4"/>
        <v>1</v>
      </c>
      <c r="S31" s="23">
        <f t="shared" si="5"/>
        <v>0</v>
      </c>
      <c r="T31" s="23">
        <f t="shared" ca="1" si="6"/>
        <v>0</v>
      </c>
      <c r="U31" s="23">
        <f t="shared" si="7"/>
        <v>14445</v>
      </c>
      <c r="V31" s="33">
        <f t="shared" si="10"/>
        <v>45626</v>
      </c>
    </row>
    <row r="32" spans="1:22" ht="14.5" x14ac:dyDescent="0.35">
      <c r="A32" s="32" t="s">
        <v>67</v>
      </c>
      <c r="B32" s="30">
        <v>45616.333333333299</v>
      </c>
      <c r="C32" s="30">
        <v>45652.708333333299</v>
      </c>
      <c r="D32" s="30">
        <v>45616.333333333299</v>
      </c>
      <c r="E32" s="30">
        <v>45652.708333333299</v>
      </c>
      <c r="F32" s="21" t="s">
        <v>50</v>
      </c>
      <c r="G32" s="25">
        <v>1</v>
      </c>
      <c r="H32" s="14">
        <v>135</v>
      </c>
      <c r="I32" s="18"/>
      <c r="J32" s="27">
        <v>1</v>
      </c>
      <c r="K32" s="29">
        <f t="shared" si="8"/>
        <v>36.375</v>
      </c>
      <c r="L32" s="29">
        <f t="shared" si="9"/>
        <v>36.375</v>
      </c>
      <c r="M32" s="19">
        <f t="shared" si="0"/>
        <v>39285</v>
      </c>
      <c r="N32" s="18">
        <f t="shared" si="1"/>
        <v>39285</v>
      </c>
      <c r="O32" s="18">
        <f ca="1">IF(Table2[[#This Row],[BL Project Start]]&gt;$B$2, 0,M32)</f>
        <v>39285</v>
      </c>
      <c r="P32" s="18">
        <f t="shared" si="2"/>
        <v>39285</v>
      </c>
      <c r="Q32" s="14">
        <f t="shared" si="3"/>
        <v>1</v>
      </c>
      <c r="R32" s="28">
        <f t="shared" ca="1" si="4"/>
        <v>1</v>
      </c>
      <c r="S32" s="23">
        <f t="shared" si="5"/>
        <v>0</v>
      </c>
      <c r="T32" s="23">
        <f t="shared" ca="1" si="6"/>
        <v>0</v>
      </c>
      <c r="U32" s="23">
        <f t="shared" si="7"/>
        <v>39285</v>
      </c>
      <c r="V32" s="33">
        <f t="shared" si="10"/>
        <v>45657</v>
      </c>
    </row>
    <row r="33" spans="1:22" ht="14.5" x14ac:dyDescent="0.35">
      <c r="A33" s="32" t="s">
        <v>69</v>
      </c>
      <c r="B33" s="30">
        <v>45656.333333333299</v>
      </c>
      <c r="C33" s="30">
        <v>45667.708333333299</v>
      </c>
      <c r="D33" s="30">
        <v>45656.333333333299</v>
      </c>
      <c r="E33" s="30">
        <v>45667.708333333299</v>
      </c>
      <c r="F33" s="21" t="s">
        <v>70</v>
      </c>
      <c r="G33" s="25">
        <v>1</v>
      </c>
      <c r="H33" s="14">
        <v>135</v>
      </c>
      <c r="I33" s="18"/>
      <c r="J33" s="27">
        <v>1</v>
      </c>
      <c r="K33" s="29">
        <f t="shared" si="8"/>
        <v>11.375</v>
      </c>
      <c r="L33" s="29">
        <f t="shared" si="9"/>
        <v>11.375</v>
      </c>
      <c r="M33" s="19">
        <f t="shared" si="0"/>
        <v>12285</v>
      </c>
      <c r="N33" s="18">
        <f t="shared" si="1"/>
        <v>12285</v>
      </c>
      <c r="O33" s="18">
        <f ca="1">IF(Table2[[#This Row],[BL Project Start]]&gt;$B$2, 0,M33)</f>
        <v>12285</v>
      </c>
      <c r="P33" s="18">
        <f t="shared" si="2"/>
        <v>12285</v>
      </c>
      <c r="Q33" s="14">
        <f t="shared" si="3"/>
        <v>1</v>
      </c>
      <c r="R33" s="28">
        <f t="shared" ca="1" si="4"/>
        <v>1</v>
      </c>
      <c r="S33" s="23">
        <f t="shared" si="5"/>
        <v>0</v>
      </c>
      <c r="T33" s="23">
        <f t="shared" ca="1" si="6"/>
        <v>0</v>
      </c>
      <c r="U33" s="23">
        <f t="shared" si="7"/>
        <v>12285</v>
      </c>
      <c r="V33" s="33">
        <f t="shared" si="10"/>
        <v>45688</v>
      </c>
    </row>
    <row r="34" spans="1:22" ht="14.5" x14ac:dyDescent="0.35">
      <c r="A34" s="32" t="s">
        <v>72</v>
      </c>
      <c r="B34" s="30">
        <v>45653.333333333299</v>
      </c>
      <c r="C34" s="30">
        <v>45659.708333333299</v>
      </c>
      <c r="D34" s="30">
        <v>45653.333333333299</v>
      </c>
      <c r="E34" s="30">
        <v>45659.708333333299</v>
      </c>
      <c r="F34" s="21" t="s">
        <v>50</v>
      </c>
      <c r="G34" s="25">
        <v>1</v>
      </c>
      <c r="H34" s="14">
        <v>135</v>
      </c>
      <c r="I34" s="18"/>
      <c r="J34" s="27">
        <v>1</v>
      </c>
      <c r="K34" s="29">
        <f t="shared" si="8"/>
        <v>6.375</v>
      </c>
      <c r="L34" s="29">
        <f t="shared" si="9"/>
        <v>6.375</v>
      </c>
      <c r="M34" s="19">
        <f t="shared" si="0"/>
        <v>6885</v>
      </c>
      <c r="N34" s="18">
        <f t="shared" si="1"/>
        <v>6885</v>
      </c>
      <c r="O34" s="18">
        <f ca="1">IF(Table2[[#This Row],[BL Project Start]]&gt;$B$2, 0,M34)</f>
        <v>6885</v>
      </c>
      <c r="P34" s="18">
        <f t="shared" si="2"/>
        <v>6885</v>
      </c>
      <c r="Q34" s="14">
        <f t="shared" si="3"/>
        <v>1</v>
      </c>
      <c r="R34" s="28">
        <f t="shared" ca="1" si="4"/>
        <v>1</v>
      </c>
      <c r="S34" s="23">
        <f t="shared" si="5"/>
        <v>0</v>
      </c>
      <c r="T34" s="23">
        <f t="shared" ca="1" si="6"/>
        <v>0</v>
      </c>
      <c r="U34" s="23">
        <f t="shared" si="7"/>
        <v>6885</v>
      </c>
      <c r="V34" s="33">
        <f t="shared" si="10"/>
        <v>45688</v>
      </c>
    </row>
    <row r="35" spans="1:22" ht="14.5" x14ac:dyDescent="0.35">
      <c r="A35" s="32" t="s">
        <v>657</v>
      </c>
      <c r="B35" s="30">
        <v>45667.333333333299</v>
      </c>
      <c r="C35" s="30">
        <v>45684.708333333299</v>
      </c>
      <c r="D35" s="30">
        <v>45667.333333333299</v>
      </c>
      <c r="E35" s="30">
        <v>45684.708333333299</v>
      </c>
      <c r="F35" s="21" t="s">
        <v>70</v>
      </c>
      <c r="G35" s="25">
        <v>1</v>
      </c>
      <c r="H35" s="14">
        <v>135</v>
      </c>
      <c r="I35" s="18"/>
      <c r="J35" s="27">
        <v>1</v>
      </c>
      <c r="K35" s="29">
        <f t="shared" si="8"/>
        <v>17.375</v>
      </c>
      <c r="L35" s="29">
        <f t="shared" si="9"/>
        <v>17.375</v>
      </c>
      <c r="M35" s="19">
        <f t="shared" si="0"/>
        <v>18765</v>
      </c>
      <c r="N35" s="18">
        <f t="shared" si="1"/>
        <v>18765</v>
      </c>
      <c r="O35" s="18">
        <f ca="1">IF(Table2[[#This Row],[BL Project Start]]&gt;$B$2, 0,M35)</f>
        <v>18765</v>
      </c>
      <c r="P35" s="18">
        <f t="shared" si="2"/>
        <v>18765</v>
      </c>
      <c r="Q35" s="14">
        <f t="shared" si="3"/>
        <v>1</v>
      </c>
      <c r="R35" s="28">
        <f t="shared" ca="1" si="4"/>
        <v>1</v>
      </c>
      <c r="S35" s="23">
        <f t="shared" si="5"/>
        <v>0</v>
      </c>
      <c r="T35" s="23">
        <f t="shared" ca="1" si="6"/>
        <v>0</v>
      </c>
      <c r="U35" s="23">
        <f t="shared" si="7"/>
        <v>18765</v>
      </c>
      <c r="V35" s="33">
        <f t="shared" si="10"/>
        <v>45688</v>
      </c>
    </row>
    <row r="36" spans="1:22" ht="14.5" x14ac:dyDescent="0.35">
      <c r="A36" s="32" t="s">
        <v>76</v>
      </c>
      <c r="B36" s="30">
        <v>45653.333333333299</v>
      </c>
      <c r="C36" s="30">
        <v>45657.708333333299</v>
      </c>
      <c r="D36" s="30">
        <v>45653.333333333299</v>
      </c>
      <c r="E36" s="30">
        <v>45657.708333333299</v>
      </c>
      <c r="F36" s="21" t="s">
        <v>50</v>
      </c>
      <c r="G36" s="25">
        <v>1</v>
      </c>
      <c r="H36" s="14">
        <v>135</v>
      </c>
      <c r="I36" s="18"/>
      <c r="J36" s="27">
        <v>1</v>
      </c>
      <c r="K36" s="29">
        <f t="shared" si="8"/>
        <v>4.375</v>
      </c>
      <c r="L36" s="29">
        <f t="shared" si="9"/>
        <v>4.375</v>
      </c>
      <c r="M36" s="19">
        <f t="shared" si="0"/>
        <v>4725</v>
      </c>
      <c r="N36" s="18">
        <f t="shared" si="1"/>
        <v>4725</v>
      </c>
      <c r="O36" s="18">
        <f ca="1">IF(Table2[[#This Row],[BL Project Start]]&gt;$B$2, 0,M36)</f>
        <v>4725</v>
      </c>
      <c r="P36" s="18">
        <f t="shared" si="2"/>
        <v>4725</v>
      </c>
      <c r="Q36" s="14">
        <f t="shared" si="3"/>
        <v>1</v>
      </c>
      <c r="R36" s="28">
        <f t="shared" ca="1" si="4"/>
        <v>1</v>
      </c>
      <c r="S36" s="23">
        <f t="shared" si="5"/>
        <v>0</v>
      </c>
      <c r="T36" s="23">
        <f t="shared" ca="1" si="6"/>
        <v>0</v>
      </c>
      <c r="U36" s="23">
        <f t="shared" si="7"/>
        <v>4725</v>
      </c>
      <c r="V36" s="33">
        <f t="shared" si="10"/>
        <v>45657</v>
      </c>
    </row>
    <row r="37" spans="1:22" ht="14.5" x14ac:dyDescent="0.35">
      <c r="A37" s="32" t="s">
        <v>78</v>
      </c>
      <c r="B37" s="30">
        <v>45657.333333333299</v>
      </c>
      <c r="C37" s="30">
        <v>45666.708333333299</v>
      </c>
      <c r="D37" s="30">
        <v>45657.333333333299</v>
      </c>
      <c r="E37" s="30">
        <v>45666.708333333299</v>
      </c>
      <c r="F37" s="21" t="s">
        <v>50</v>
      </c>
      <c r="G37" s="25">
        <v>1</v>
      </c>
      <c r="H37" s="14">
        <v>135</v>
      </c>
      <c r="I37" s="18"/>
      <c r="J37" s="27">
        <v>1</v>
      </c>
      <c r="K37" s="29">
        <f t="shared" si="8"/>
        <v>9.375</v>
      </c>
      <c r="L37" s="29">
        <f t="shared" si="9"/>
        <v>9.375</v>
      </c>
      <c r="M37" s="19">
        <f t="shared" si="0"/>
        <v>10125</v>
      </c>
      <c r="N37" s="18">
        <f t="shared" si="1"/>
        <v>10125</v>
      </c>
      <c r="O37" s="18">
        <f ca="1">IF(Table2[[#This Row],[BL Project Start]]&gt;$B$2, 0,M37)</f>
        <v>10125</v>
      </c>
      <c r="P37" s="18">
        <f t="shared" si="2"/>
        <v>10125</v>
      </c>
      <c r="Q37" s="14">
        <f t="shared" si="3"/>
        <v>1</v>
      </c>
      <c r="R37" s="28">
        <f t="shared" ca="1" si="4"/>
        <v>1</v>
      </c>
      <c r="S37" s="23">
        <f t="shared" si="5"/>
        <v>0</v>
      </c>
      <c r="T37" s="23">
        <f t="shared" ca="1" si="6"/>
        <v>0</v>
      </c>
      <c r="U37" s="23">
        <f t="shared" si="7"/>
        <v>10125</v>
      </c>
      <c r="V37" s="33">
        <f t="shared" si="10"/>
        <v>45688</v>
      </c>
    </row>
    <row r="38" spans="1:22" ht="14.5" x14ac:dyDescent="0.35">
      <c r="A38" s="32" t="s">
        <v>80</v>
      </c>
      <c r="B38" s="30">
        <v>45667.333333333299</v>
      </c>
      <c r="C38" s="30">
        <v>45685.708333333299</v>
      </c>
      <c r="D38" s="30">
        <v>45667.333333333299</v>
      </c>
      <c r="E38" s="30">
        <v>45685.708333333299</v>
      </c>
      <c r="F38" s="21" t="s">
        <v>50</v>
      </c>
      <c r="G38" s="25">
        <v>1</v>
      </c>
      <c r="H38" s="14">
        <v>135</v>
      </c>
      <c r="I38" s="18"/>
      <c r="J38" s="27">
        <v>1</v>
      </c>
      <c r="K38" s="29">
        <f t="shared" si="8"/>
        <v>18.375</v>
      </c>
      <c r="L38" s="29">
        <f t="shared" si="9"/>
        <v>18.375</v>
      </c>
      <c r="M38" s="19">
        <f t="shared" si="0"/>
        <v>19845</v>
      </c>
      <c r="N38" s="18">
        <f t="shared" si="1"/>
        <v>19845</v>
      </c>
      <c r="O38" s="18">
        <f ca="1">IF(Table2[[#This Row],[BL Project Start]]&gt;$B$2, 0,M38)</f>
        <v>19845</v>
      </c>
      <c r="P38" s="18">
        <f t="shared" si="2"/>
        <v>19845</v>
      </c>
      <c r="Q38" s="14">
        <f t="shared" si="3"/>
        <v>1</v>
      </c>
      <c r="R38" s="28">
        <f t="shared" ca="1" si="4"/>
        <v>1</v>
      </c>
      <c r="S38" s="23">
        <f t="shared" si="5"/>
        <v>0</v>
      </c>
      <c r="T38" s="23">
        <f t="shared" ca="1" si="6"/>
        <v>0</v>
      </c>
      <c r="U38" s="23">
        <f t="shared" si="7"/>
        <v>19845</v>
      </c>
      <c r="V38" s="33">
        <f t="shared" si="10"/>
        <v>45688</v>
      </c>
    </row>
    <row r="39" spans="1:22" ht="14.5" x14ac:dyDescent="0.35">
      <c r="A39" s="32" t="s">
        <v>82</v>
      </c>
      <c r="B39" s="30">
        <v>45653.333333333299</v>
      </c>
      <c r="C39" s="30">
        <v>45671.708333333299</v>
      </c>
      <c r="D39" s="30">
        <v>45653.333333333299</v>
      </c>
      <c r="E39" s="30">
        <v>45671.708333333299</v>
      </c>
      <c r="F39" s="21" t="s">
        <v>83</v>
      </c>
      <c r="G39" s="25">
        <v>1</v>
      </c>
      <c r="H39" s="14">
        <v>135</v>
      </c>
      <c r="I39" s="18"/>
      <c r="J39" s="27">
        <v>1</v>
      </c>
      <c r="K39" s="29">
        <f t="shared" si="8"/>
        <v>18.375</v>
      </c>
      <c r="L39" s="29">
        <f t="shared" si="9"/>
        <v>18.375</v>
      </c>
      <c r="M39" s="19">
        <f t="shared" si="0"/>
        <v>19845</v>
      </c>
      <c r="N39" s="18">
        <f t="shared" si="1"/>
        <v>19845</v>
      </c>
      <c r="O39" s="18">
        <f ca="1">IF(Table2[[#This Row],[BL Project Start]]&gt;$B$2, 0,M39)</f>
        <v>19845</v>
      </c>
      <c r="P39" s="18">
        <f t="shared" si="2"/>
        <v>19845</v>
      </c>
      <c r="Q39" s="14">
        <f t="shared" si="3"/>
        <v>1</v>
      </c>
      <c r="R39" s="28">
        <f t="shared" ca="1" si="4"/>
        <v>1</v>
      </c>
      <c r="S39" s="23">
        <f t="shared" si="5"/>
        <v>0</v>
      </c>
      <c r="T39" s="23">
        <f t="shared" ca="1" si="6"/>
        <v>0</v>
      </c>
      <c r="U39" s="23">
        <f t="shared" si="7"/>
        <v>19845</v>
      </c>
      <c r="V39" s="33">
        <f t="shared" si="10"/>
        <v>45688</v>
      </c>
    </row>
    <row r="40" spans="1:22" ht="14.5" x14ac:dyDescent="0.35">
      <c r="A40" s="32" t="s">
        <v>85</v>
      </c>
      <c r="B40" s="30">
        <v>45672.333333333299</v>
      </c>
      <c r="C40" s="30">
        <v>45686.708333333299</v>
      </c>
      <c r="D40" s="30">
        <v>45672.333333333299</v>
      </c>
      <c r="E40" s="30">
        <v>45686.708333333299</v>
      </c>
      <c r="F40" s="21" t="s">
        <v>83</v>
      </c>
      <c r="G40" s="25">
        <v>1</v>
      </c>
      <c r="H40" s="14">
        <v>135</v>
      </c>
      <c r="I40" s="18"/>
      <c r="J40" s="27">
        <v>1</v>
      </c>
      <c r="K40" s="29">
        <f t="shared" si="8"/>
        <v>14.375</v>
      </c>
      <c r="L40" s="29">
        <f t="shared" si="9"/>
        <v>14.375</v>
      </c>
      <c r="M40" s="19">
        <f t="shared" si="0"/>
        <v>15525</v>
      </c>
      <c r="N40" s="18">
        <f t="shared" si="1"/>
        <v>15525</v>
      </c>
      <c r="O40" s="18">
        <f ca="1">IF(Table2[[#This Row],[BL Project Start]]&gt;$B$2, 0,M40)</f>
        <v>15525</v>
      </c>
      <c r="P40" s="18">
        <f t="shared" si="2"/>
        <v>15525</v>
      </c>
      <c r="Q40" s="14">
        <f t="shared" si="3"/>
        <v>1</v>
      </c>
      <c r="R40" s="28">
        <f t="shared" ca="1" si="4"/>
        <v>1</v>
      </c>
      <c r="S40" s="23">
        <f t="shared" si="5"/>
        <v>0</v>
      </c>
      <c r="T40" s="23">
        <f t="shared" ca="1" si="6"/>
        <v>0</v>
      </c>
      <c r="U40" s="23">
        <f t="shared" si="7"/>
        <v>15525</v>
      </c>
      <c r="V40" s="33">
        <f t="shared" si="10"/>
        <v>45688</v>
      </c>
    </row>
    <row r="41" spans="1:22" ht="14.5" x14ac:dyDescent="0.35">
      <c r="A41" s="32" t="s">
        <v>87</v>
      </c>
      <c r="B41" s="30">
        <v>45672.333333333299</v>
      </c>
      <c r="C41" s="30">
        <v>45686.708333333299</v>
      </c>
      <c r="D41" s="30">
        <v>45672.333333333299</v>
      </c>
      <c r="E41" s="30">
        <v>45686.708333333299</v>
      </c>
      <c r="F41" s="21" t="s">
        <v>83</v>
      </c>
      <c r="G41" s="25">
        <v>1</v>
      </c>
      <c r="H41" s="14">
        <v>135</v>
      </c>
      <c r="I41" s="18"/>
      <c r="J41" s="27">
        <v>1</v>
      </c>
      <c r="K41" s="29">
        <f t="shared" si="8"/>
        <v>14.375</v>
      </c>
      <c r="L41" s="29">
        <f t="shared" si="9"/>
        <v>14.375</v>
      </c>
      <c r="M41" s="19">
        <f t="shared" si="0"/>
        <v>15525</v>
      </c>
      <c r="N41" s="18">
        <f t="shared" si="1"/>
        <v>15525</v>
      </c>
      <c r="O41" s="18">
        <f ca="1">IF(Table2[[#This Row],[BL Project Start]]&gt;$B$2, 0,M41)</f>
        <v>15525</v>
      </c>
      <c r="P41" s="18">
        <f t="shared" si="2"/>
        <v>15525</v>
      </c>
      <c r="Q41" s="14">
        <f t="shared" si="3"/>
        <v>1</v>
      </c>
      <c r="R41" s="28">
        <f t="shared" ca="1" si="4"/>
        <v>1</v>
      </c>
      <c r="S41" s="23">
        <f t="shared" si="5"/>
        <v>0</v>
      </c>
      <c r="T41" s="23">
        <f t="shared" ca="1" si="6"/>
        <v>0</v>
      </c>
      <c r="U41" s="23">
        <f t="shared" si="7"/>
        <v>15525</v>
      </c>
      <c r="V41" s="33">
        <f t="shared" si="10"/>
        <v>45688</v>
      </c>
    </row>
    <row r="42" spans="1:22" ht="14.5" x14ac:dyDescent="0.35">
      <c r="A42" s="32" t="s">
        <v>89</v>
      </c>
      <c r="B42" s="30">
        <v>45672.333333333299</v>
      </c>
      <c r="C42" s="30">
        <v>45685.708333333299</v>
      </c>
      <c r="D42" s="30">
        <v>45672.333333333299</v>
      </c>
      <c r="E42" s="30">
        <v>45685.708333333299</v>
      </c>
      <c r="F42" s="21" t="s">
        <v>83</v>
      </c>
      <c r="G42" s="25">
        <v>1</v>
      </c>
      <c r="H42" s="14">
        <v>135</v>
      </c>
      <c r="I42" s="18"/>
      <c r="J42" s="27">
        <v>1</v>
      </c>
      <c r="K42" s="29">
        <f t="shared" si="8"/>
        <v>13.375</v>
      </c>
      <c r="L42" s="29">
        <f t="shared" si="9"/>
        <v>13.375</v>
      </c>
      <c r="M42" s="19">
        <f t="shared" si="0"/>
        <v>14445</v>
      </c>
      <c r="N42" s="18">
        <f t="shared" si="1"/>
        <v>14445</v>
      </c>
      <c r="O42" s="18">
        <f ca="1">IF(Table2[[#This Row],[BL Project Start]]&gt;$B$2, 0,M42)</f>
        <v>14445</v>
      </c>
      <c r="P42" s="18">
        <f t="shared" si="2"/>
        <v>14445</v>
      </c>
      <c r="Q42" s="14">
        <f t="shared" si="3"/>
        <v>1</v>
      </c>
      <c r="R42" s="28">
        <f t="shared" ca="1" si="4"/>
        <v>1</v>
      </c>
      <c r="S42" s="23">
        <f t="shared" si="5"/>
        <v>0</v>
      </c>
      <c r="T42" s="23">
        <f t="shared" ca="1" si="6"/>
        <v>0</v>
      </c>
      <c r="U42" s="23">
        <f t="shared" si="7"/>
        <v>14445</v>
      </c>
      <c r="V42" s="33">
        <f t="shared" si="10"/>
        <v>45688</v>
      </c>
    </row>
    <row r="43" spans="1:22" ht="14.5" x14ac:dyDescent="0.35">
      <c r="A43" s="32" t="s">
        <v>91</v>
      </c>
      <c r="B43" s="30">
        <v>45672.333333333299</v>
      </c>
      <c r="C43" s="30">
        <v>45685.708333333299</v>
      </c>
      <c r="D43" s="30">
        <v>45672.333333333299</v>
      </c>
      <c r="E43" s="30">
        <v>45685.708333333299</v>
      </c>
      <c r="F43" s="21" t="s">
        <v>83</v>
      </c>
      <c r="G43" s="25">
        <v>1</v>
      </c>
      <c r="H43" s="14">
        <v>135</v>
      </c>
      <c r="I43" s="18"/>
      <c r="J43" s="27">
        <v>1</v>
      </c>
      <c r="K43" s="29">
        <f t="shared" si="8"/>
        <v>13.375</v>
      </c>
      <c r="L43" s="29">
        <f t="shared" si="9"/>
        <v>13.375</v>
      </c>
      <c r="M43" s="19">
        <f t="shared" si="0"/>
        <v>14445</v>
      </c>
      <c r="N43" s="18">
        <f t="shared" si="1"/>
        <v>14445</v>
      </c>
      <c r="O43" s="18">
        <f ca="1">IF(Table2[[#This Row],[BL Project Start]]&gt;$B$2, 0,M43)</f>
        <v>14445</v>
      </c>
      <c r="P43" s="18">
        <f t="shared" si="2"/>
        <v>14445</v>
      </c>
      <c r="Q43" s="14">
        <f t="shared" si="3"/>
        <v>1</v>
      </c>
      <c r="R43" s="28">
        <f t="shared" ca="1" si="4"/>
        <v>1</v>
      </c>
      <c r="S43" s="23">
        <f t="shared" si="5"/>
        <v>0</v>
      </c>
      <c r="T43" s="23">
        <f t="shared" ca="1" si="6"/>
        <v>0</v>
      </c>
      <c r="U43" s="23">
        <f t="shared" si="7"/>
        <v>14445</v>
      </c>
      <c r="V43" s="33">
        <f t="shared" si="10"/>
        <v>45688</v>
      </c>
    </row>
    <row r="44" spans="1:22" ht="14.5" x14ac:dyDescent="0.35">
      <c r="A44" s="32" t="s">
        <v>93</v>
      </c>
      <c r="B44" s="30">
        <v>45679.333333333299</v>
      </c>
      <c r="C44" s="30">
        <v>45686.708333333299</v>
      </c>
      <c r="D44" s="30">
        <v>45679.333333333299</v>
      </c>
      <c r="E44" s="30">
        <v>45686.708333333299</v>
      </c>
      <c r="F44" s="21" t="s">
        <v>83</v>
      </c>
      <c r="G44" s="25">
        <v>1</v>
      </c>
      <c r="H44" s="14">
        <v>135</v>
      </c>
      <c r="I44" s="18"/>
      <c r="J44" s="27">
        <v>1</v>
      </c>
      <c r="K44" s="29">
        <f t="shared" si="8"/>
        <v>7.375</v>
      </c>
      <c r="L44" s="29">
        <f t="shared" si="9"/>
        <v>7.375</v>
      </c>
      <c r="M44" s="19">
        <f t="shared" si="0"/>
        <v>7965</v>
      </c>
      <c r="N44" s="18">
        <f t="shared" si="1"/>
        <v>7965</v>
      </c>
      <c r="O44" s="18">
        <f ca="1">IF(Table2[[#This Row],[BL Project Start]]&gt;$B$2, 0,M44)</f>
        <v>7965</v>
      </c>
      <c r="P44" s="18">
        <f t="shared" si="2"/>
        <v>7965</v>
      </c>
      <c r="Q44" s="14">
        <f t="shared" si="3"/>
        <v>1</v>
      </c>
      <c r="R44" s="28">
        <f t="shared" ca="1" si="4"/>
        <v>1</v>
      </c>
      <c r="S44" s="23">
        <f t="shared" si="5"/>
        <v>0</v>
      </c>
      <c r="T44" s="23">
        <f t="shared" ca="1" si="6"/>
        <v>0</v>
      </c>
      <c r="U44" s="23">
        <f t="shared" si="7"/>
        <v>7965</v>
      </c>
      <c r="V44" s="33">
        <f t="shared" si="10"/>
        <v>45688</v>
      </c>
    </row>
    <row r="45" spans="1:22" ht="14.5" x14ac:dyDescent="0.35">
      <c r="A45" s="32" t="s">
        <v>95</v>
      </c>
      <c r="B45" s="30">
        <v>45653.333333333299</v>
      </c>
      <c r="C45" s="30">
        <v>45678.708333333299</v>
      </c>
      <c r="D45" s="30">
        <v>45653.333333333299</v>
      </c>
      <c r="E45" s="30">
        <v>45678.708333333299</v>
      </c>
      <c r="F45" s="21" t="s">
        <v>83</v>
      </c>
      <c r="G45" s="25">
        <v>1</v>
      </c>
      <c r="H45" s="14">
        <v>135</v>
      </c>
      <c r="I45" s="18"/>
      <c r="J45" s="27">
        <v>1</v>
      </c>
      <c r="K45" s="29">
        <f t="shared" si="8"/>
        <v>25.375</v>
      </c>
      <c r="L45" s="29">
        <f t="shared" si="9"/>
        <v>25.375</v>
      </c>
      <c r="M45" s="19">
        <f t="shared" si="0"/>
        <v>27405</v>
      </c>
      <c r="N45" s="18">
        <f t="shared" si="1"/>
        <v>27405</v>
      </c>
      <c r="O45" s="18">
        <f ca="1">IF(Table2[[#This Row],[BL Project Start]]&gt;$B$2, 0,M45)</f>
        <v>27405</v>
      </c>
      <c r="P45" s="18">
        <f t="shared" si="2"/>
        <v>27405</v>
      </c>
      <c r="Q45" s="14">
        <f t="shared" si="3"/>
        <v>1</v>
      </c>
      <c r="R45" s="28">
        <f t="shared" ca="1" si="4"/>
        <v>1</v>
      </c>
      <c r="S45" s="23">
        <f t="shared" si="5"/>
        <v>0</v>
      </c>
      <c r="T45" s="23">
        <f t="shared" ca="1" si="6"/>
        <v>0</v>
      </c>
      <c r="U45" s="23">
        <f t="shared" si="7"/>
        <v>27405</v>
      </c>
      <c r="V45" s="33">
        <f t="shared" si="10"/>
        <v>45688</v>
      </c>
    </row>
    <row r="46" spans="1:22" ht="14.5" x14ac:dyDescent="0.35">
      <c r="A46" s="32" t="s">
        <v>97</v>
      </c>
      <c r="B46" s="30">
        <v>45679.333333333299</v>
      </c>
      <c r="C46" s="30">
        <v>45695.708333333299</v>
      </c>
      <c r="D46" s="30">
        <v>45679.333333333299</v>
      </c>
      <c r="E46" s="30">
        <v>45695.708333333299</v>
      </c>
      <c r="F46" s="21" t="s">
        <v>83</v>
      </c>
      <c r="G46" s="25">
        <v>1</v>
      </c>
      <c r="H46" s="14">
        <v>135</v>
      </c>
      <c r="I46" s="18"/>
      <c r="J46" s="27">
        <v>1</v>
      </c>
      <c r="K46" s="29">
        <f t="shared" si="8"/>
        <v>16.375</v>
      </c>
      <c r="L46" s="29">
        <f t="shared" si="9"/>
        <v>16.375</v>
      </c>
      <c r="M46" s="19">
        <f t="shared" si="0"/>
        <v>17685</v>
      </c>
      <c r="N46" s="18">
        <f t="shared" si="1"/>
        <v>17685</v>
      </c>
      <c r="O46" s="18">
        <f ca="1">IF(Table2[[#This Row],[BL Project Start]]&gt;$B$2, 0,M46)</f>
        <v>17685</v>
      </c>
      <c r="P46" s="18">
        <f t="shared" si="2"/>
        <v>17685</v>
      </c>
      <c r="Q46" s="14">
        <f t="shared" si="3"/>
        <v>1</v>
      </c>
      <c r="R46" s="28">
        <f t="shared" ca="1" si="4"/>
        <v>1</v>
      </c>
      <c r="S46" s="23">
        <f t="shared" si="5"/>
        <v>0</v>
      </c>
      <c r="T46" s="23">
        <f t="shared" ca="1" si="6"/>
        <v>0</v>
      </c>
      <c r="U46" s="23">
        <f t="shared" si="7"/>
        <v>17685</v>
      </c>
      <c r="V46" s="33">
        <f t="shared" si="10"/>
        <v>45716</v>
      </c>
    </row>
    <row r="47" spans="1:22" ht="14.5" x14ac:dyDescent="0.35">
      <c r="A47" s="32" t="s">
        <v>99</v>
      </c>
      <c r="B47" s="30">
        <v>45698.333333333299</v>
      </c>
      <c r="C47" s="30">
        <v>45719.708333333299</v>
      </c>
      <c r="D47" s="30">
        <v>45698.333333333299</v>
      </c>
      <c r="E47" s="30">
        <v>45719.708333333299</v>
      </c>
      <c r="F47" s="21" t="s">
        <v>55</v>
      </c>
      <c r="G47" s="25">
        <v>1</v>
      </c>
      <c r="H47" s="14">
        <v>85</v>
      </c>
      <c r="I47" s="18"/>
      <c r="J47" s="27">
        <v>1</v>
      </c>
      <c r="K47" s="29">
        <f t="shared" si="8"/>
        <v>21.375</v>
      </c>
      <c r="L47" s="29">
        <f t="shared" si="9"/>
        <v>21.375</v>
      </c>
      <c r="M47" s="19">
        <f t="shared" si="0"/>
        <v>14535</v>
      </c>
      <c r="N47" s="18">
        <f t="shared" si="1"/>
        <v>14535</v>
      </c>
      <c r="O47" s="18">
        <f ca="1">IF(Table2[[#This Row],[BL Project Start]]&gt;$B$2, 0,M47)</f>
        <v>14535</v>
      </c>
      <c r="P47" s="18">
        <f t="shared" si="2"/>
        <v>14535</v>
      </c>
      <c r="Q47" s="14">
        <f t="shared" si="3"/>
        <v>1</v>
      </c>
      <c r="R47" s="28">
        <f t="shared" ca="1" si="4"/>
        <v>1</v>
      </c>
      <c r="S47" s="23">
        <f t="shared" si="5"/>
        <v>0</v>
      </c>
      <c r="T47" s="23">
        <f t="shared" ca="1" si="6"/>
        <v>0</v>
      </c>
      <c r="U47" s="23">
        <f t="shared" si="7"/>
        <v>14535</v>
      </c>
      <c r="V47" s="33">
        <f t="shared" si="10"/>
        <v>45747</v>
      </c>
    </row>
    <row r="48" spans="1:22" ht="14.5" x14ac:dyDescent="0.35">
      <c r="A48" s="32" t="s">
        <v>101</v>
      </c>
      <c r="B48" s="30">
        <v>45720.333333333299</v>
      </c>
      <c r="C48" s="30">
        <v>45747.708333333299</v>
      </c>
      <c r="D48" s="30">
        <v>45720.333333333299</v>
      </c>
      <c r="E48" s="30" t="s">
        <v>5</v>
      </c>
      <c r="F48" s="21" t="s">
        <v>55</v>
      </c>
      <c r="G48" s="25">
        <v>0.1</v>
      </c>
      <c r="H48" s="14">
        <v>85</v>
      </c>
      <c r="I48" s="18"/>
      <c r="J48" s="27">
        <v>1</v>
      </c>
      <c r="K48" s="29">
        <f t="shared" si="8"/>
        <v>27.375</v>
      </c>
      <c r="L48" s="29">
        <f t="shared" si="9"/>
        <v>0</v>
      </c>
      <c r="M48" s="19">
        <f t="shared" si="0"/>
        <v>18615</v>
      </c>
      <c r="N48" s="18">
        <f t="shared" si="1"/>
        <v>0</v>
      </c>
      <c r="O48" s="18">
        <f ca="1">IF(Table2[[#This Row],[BL Project Start]]&gt;$B$2, 0,M48)</f>
        <v>18615</v>
      </c>
      <c r="P48" s="18">
        <f t="shared" si="2"/>
        <v>1861.5</v>
      </c>
      <c r="Q48" s="14" t="str">
        <f t="shared" si="3"/>
        <v/>
      </c>
      <c r="R48" s="28">
        <f t="shared" ca="1" si="4"/>
        <v>0.1</v>
      </c>
      <c r="S48" s="23">
        <f t="shared" si="5"/>
        <v>1861.5</v>
      </c>
      <c r="T48" s="23">
        <f t="shared" ca="1" si="6"/>
        <v>-16753.5</v>
      </c>
      <c r="U48" s="23">
        <f t="shared" si="7"/>
        <v>16753.5</v>
      </c>
      <c r="V48" s="33">
        <f t="shared" si="10"/>
        <v>45747</v>
      </c>
    </row>
    <row r="49" spans="1:22" ht="14.5" x14ac:dyDescent="0.35">
      <c r="A49" s="32" t="s">
        <v>103</v>
      </c>
      <c r="B49" s="30">
        <v>45748.333333333299</v>
      </c>
      <c r="C49" s="30">
        <v>45778.708333333299</v>
      </c>
      <c r="D49" s="30">
        <v>45748.333333333299</v>
      </c>
      <c r="E49" s="30">
        <v>45778.708333333299</v>
      </c>
      <c r="F49" s="21" t="s">
        <v>55</v>
      </c>
      <c r="G49" s="25">
        <v>1</v>
      </c>
      <c r="H49" s="14">
        <v>85</v>
      </c>
      <c r="I49" s="18"/>
      <c r="J49" s="27">
        <v>1</v>
      </c>
      <c r="K49" s="29">
        <f t="shared" si="8"/>
        <v>30.375</v>
      </c>
      <c r="L49" s="29">
        <f t="shared" si="9"/>
        <v>30.375</v>
      </c>
      <c r="M49" s="19">
        <f t="shared" si="0"/>
        <v>20655</v>
      </c>
      <c r="N49" s="18">
        <f t="shared" si="1"/>
        <v>20655</v>
      </c>
      <c r="O49" s="18">
        <f ca="1">IF(Table2[[#This Row],[BL Project Start]]&gt;$B$2, 0,M49)</f>
        <v>20655</v>
      </c>
      <c r="P49" s="18">
        <f t="shared" si="2"/>
        <v>20655</v>
      </c>
      <c r="Q49" s="14">
        <f t="shared" si="3"/>
        <v>1</v>
      </c>
      <c r="R49" s="28">
        <f t="shared" ca="1" si="4"/>
        <v>1</v>
      </c>
      <c r="S49" s="23">
        <f t="shared" si="5"/>
        <v>0</v>
      </c>
      <c r="T49" s="23">
        <f t="shared" ca="1" si="6"/>
        <v>0</v>
      </c>
      <c r="U49" s="23">
        <f t="shared" si="7"/>
        <v>20655</v>
      </c>
      <c r="V49" s="33">
        <f t="shared" si="10"/>
        <v>45808</v>
      </c>
    </row>
    <row r="50" spans="1:22" ht="14.5" x14ac:dyDescent="0.35">
      <c r="A50" s="32" t="s">
        <v>105</v>
      </c>
      <c r="B50" s="30">
        <v>45779.333333333299</v>
      </c>
      <c r="C50" s="30">
        <v>45797.708333333299</v>
      </c>
      <c r="D50" s="30">
        <v>45779.333333333299</v>
      </c>
      <c r="E50" s="30">
        <v>45797.708333333299</v>
      </c>
      <c r="F50" s="21" t="s">
        <v>55</v>
      </c>
      <c r="G50" s="25">
        <v>1</v>
      </c>
      <c r="H50" s="14">
        <v>85</v>
      </c>
      <c r="I50" s="18"/>
      <c r="J50" s="27">
        <v>1</v>
      </c>
      <c r="K50" s="29">
        <f t="shared" si="8"/>
        <v>18.375</v>
      </c>
      <c r="L50" s="29">
        <f t="shared" si="9"/>
        <v>18.375</v>
      </c>
      <c r="M50" s="19">
        <f t="shared" si="0"/>
        <v>12495</v>
      </c>
      <c r="N50" s="18">
        <f t="shared" si="1"/>
        <v>12495</v>
      </c>
      <c r="O50" s="18">
        <f ca="1">IF(Table2[[#This Row],[BL Project Start]]&gt;$B$2, 0,M50)</f>
        <v>12495</v>
      </c>
      <c r="P50" s="18">
        <f t="shared" si="2"/>
        <v>12495</v>
      </c>
      <c r="Q50" s="14">
        <f t="shared" si="3"/>
        <v>1</v>
      </c>
      <c r="R50" s="28">
        <f t="shared" ca="1" si="4"/>
        <v>1</v>
      </c>
      <c r="S50" s="23">
        <f t="shared" si="5"/>
        <v>0</v>
      </c>
      <c r="T50" s="23">
        <f t="shared" ca="1" si="6"/>
        <v>0</v>
      </c>
      <c r="U50" s="23">
        <f t="shared" si="7"/>
        <v>12495</v>
      </c>
      <c r="V50" s="33">
        <f t="shared" si="10"/>
        <v>45808</v>
      </c>
    </row>
    <row r="51" spans="1:22" ht="14.5" x14ac:dyDescent="0.35">
      <c r="A51" s="32" t="s">
        <v>107</v>
      </c>
      <c r="B51" s="30">
        <v>45798.333333333299</v>
      </c>
      <c r="C51" s="30">
        <v>45813.708333333299</v>
      </c>
      <c r="D51" s="30">
        <v>45798.333333333299</v>
      </c>
      <c r="E51" s="30">
        <v>45813.708333333299</v>
      </c>
      <c r="F51" s="21" t="s">
        <v>83</v>
      </c>
      <c r="G51" s="25">
        <v>1</v>
      </c>
      <c r="H51" s="14">
        <v>135</v>
      </c>
      <c r="I51" s="18"/>
      <c r="J51" s="27">
        <v>1</v>
      </c>
      <c r="K51" s="29">
        <f t="shared" si="8"/>
        <v>15.375</v>
      </c>
      <c r="L51" s="29">
        <f t="shared" si="9"/>
        <v>15.375</v>
      </c>
      <c r="M51" s="19">
        <f t="shared" si="0"/>
        <v>16605</v>
      </c>
      <c r="N51" s="18">
        <f t="shared" si="1"/>
        <v>16605</v>
      </c>
      <c r="O51" s="18">
        <f ca="1">IF(Table2[[#This Row],[BL Project Start]]&gt;$B$2, 0,M51)</f>
        <v>16605</v>
      </c>
      <c r="P51" s="18">
        <f t="shared" si="2"/>
        <v>16605</v>
      </c>
      <c r="Q51" s="14">
        <f t="shared" si="3"/>
        <v>1</v>
      </c>
      <c r="R51" s="28">
        <f t="shared" ca="1" si="4"/>
        <v>1</v>
      </c>
      <c r="S51" s="23">
        <f t="shared" si="5"/>
        <v>0</v>
      </c>
      <c r="T51" s="23">
        <f t="shared" ca="1" si="6"/>
        <v>0</v>
      </c>
      <c r="U51" s="23">
        <f t="shared" si="7"/>
        <v>16605</v>
      </c>
      <c r="V51" s="33">
        <f t="shared" si="10"/>
        <v>45838</v>
      </c>
    </row>
    <row r="52" spans="1:22" ht="14.5" x14ac:dyDescent="0.35">
      <c r="A52" s="32" t="s">
        <v>109</v>
      </c>
      <c r="B52" s="30" t="s">
        <v>5</v>
      </c>
      <c r="C52" s="30">
        <v>45814.708333333299</v>
      </c>
      <c r="D52" s="30" t="s">
        <v>5</v>
      </c>
      <c r="E52" s="30">
        <v>45814.708333333299</v>
      </c>
      <c r="F52" s="21" t="s">
        <v>5</v>
      </c>
      <c r="G52" s="25">
        <v>1</v>
      </c>
      <c r="H52" s="14" t="s">
        <v>5</v>
      </c>
      <c r="I52" s="18"/>
      <c r="J52" s="27">
        <v>1</v>
      </c>
      <c r="K52" s="29">
        <f t="shared" si="8"/>
        <v>0</v>
      </c>
      <c r="L52" s="29">
        <f t="shared" si="9"/>
        <v>0</v>
      </c>
      <c r="M52" s="19">
        <f t="shared" si="0"/>
        <v>0</v>
      </c>
      <c r="N52" s="18">
        <f t="shared" si="1"/>
        <v>0</v>
      </c>
      <c r="O52" s="18">
        <f ca="1">IF(Table2[[#This Row],[BL Project Start]]&gt;$B$2, 0,M52)</f>
        <v>0</v>
      </c>
      <c r="P52" s="18">
        <f t="shared" si="2"/>
        <v>0</v>
      </c>
      <c r="Q52" s="14" t="str">
        <f t="shared" si="3"/>
        <v/>
      </c>
      <c r="R52" s="28" t="str">
        <f t="shared" ca="1" si="4"/>
        <v/>
      </c>
      <c r="S52" s="23">
        <f t="shared" si="5"/>
        <v>0</v>
      </c>
      <c r="T52" s="23">
        <f t="shared" ca="1" si="6"/>
        <v>0</v>
      </c>
      <c r="U52" s="23">
        <f t="shared" si="7"/>
        <v>0</v>
      </c>
      <c r="V52" s="33">
        <f t="shared" si="10"/>
        <v>45838</v>
      </c>
    </row>
    <row r="53" spans="1:22" ht="14.5" x14ac:dyDescent="0.35">
      <c r="A53" s="32" t="s">
        <v>111</v>
      </c>
      <c r="B53" s="30">
        <v>45572.333333333299</v>
      </c>
      <c r="C53" s="30">
        <v>45580.708333333299</v>
      </c>
      <c r="D53" s="30">
        <v>45572.333333333299</v>
      </c>
      <c r="E53" s="30">
        <v>45580.708333333299</v>
      </c>
      <c r="F53" s="21" t="s">
        <v>112</v>
      </c>
      <c r="G53" s="25">
        <v>1</v>
      </c>
      <c r="H53" s="14">
        <v>135</v>
      </c>
      <c r="I53" s="18"/>
      <c r="J53" s="27">
        <v>1</v>
      </c>
      <c r="K53" s="29">
        <f t="shared" si="8"/>
        <v>8.375</v>
      </c>
      <c r="L53" s="29">
        <f t="shared" si="9"/>
        <v>8.375</v>
      </c>
      <c r="M53" s="19">
        <f t="shared" si="0"/>
        <v>9045</v>
      </c>
      <c r="N53" s="18">
        <f t="shared" si="1"/>
        <v>9045</v>
      </c>
      <c r="O53" s="18">
        <f ca="1">IF(Table2[[#This Row],[BL Project Start]]&gt;$B$2, 0,M53)</f>
        <v>9045</v>
      </c>
      <c r="P53" s="18">
        <f t="shared" si="2"/>
        <v>9045</v>
      </c>
      <c r="Q53" s="14">
        <f t="shared" si="3"/>
        <v>1</v>
      </c>
      <c r="R53" s="28">
        <f t="shared" ca="1" si="4"/>
        <v>1</v>
      </c>
      <c r="S53" s="23">
        <f t="shared" si="5"/>
        <v>0</v>
      </c>
      <c r="T53" s="23">
        <f t="shared" ca="1" si="6"/>
        <v>0</v>
      </c>
      <c r="U53" s="23">
        <f t="shared" si="7"/>
        <v>9045</v>
      </c>
      <c r="V53" s="33">
        <f t="shared" si="10"/>
        <v>45596</v>
      </c>
    </row>
    <row r="54" spans="1:22" ht="14.5" x14ac:dyDescent="0.35">
      <c r="A54" s="32" t="s">
        <v>114</v>
      </c>
      <c r="B54" s="30">
        <v>45581.333333333299</v>
      </c>
      <c r="C54" s="30">
        <v>45587.708333333299</v>
      </c>
      <c r="D54" s="30">
        <v>45581.333333333299</v>
      </c>
      <c r="E54" s="30">
        <v>45587.708333333299</v>
      </c>
      <c r="F54" s="21" t="s">
        <v>112</v>
      </c>
      <c r="G54" s="25">
        <v>1</v>
      </c>
      <c r="H54" s="14">
        <v>135</v>
      </c>
      <c r="I54" s="18"/>
      <c r="J54" s="27">
        <v>1</v>
      </c>
      <c r="K54" s="29">
        <f t="shared" si="8"/>
        <v>6.375</v>
      </c>
      <c r="L54" s="29">
        <f t="shared" si="9"/>
        <v>6.375</v>
      </c>
      <c r="M54" s="19">
        <f t="shared" si="0"/>
        <v>6885</v>
      </c>
      <c r="N54" s="18">
        <f t="shared" si="1"/>
        <v>6885</v>
      </c>
      <c r="O54" s="18">
        <f ca="1">IF(Table2[[#This Row],[BL Project Start]]&gt;$B$2, 0,M54)</f>
        <v>6885</v>
      </c>
      <c r="P54" s="18">
        <f t="shared" si="2"/>
        <v>6885</v>
      </c>
      <c r="Q54" s="14">
        <f t="shared" si="3"/>
        <v>1</v>
      </c>
      <c r="R54" s="28">
        <f t="shared" ca="1" si="4"/>
        <v>1</v>
      </c>
      <c r="S54" s="23">
        <f t="shared" si="5"/>
        <v>0</v>
      </c>
      <c r="T54" s="23">
        <f t="shared" ca="1" si="6"/>
        <v>0</v>
      </c>
      <c r="U54" s="23">
        <f t="shared" si="7"/>
        <v>6885</v>
      </c>
      <c r="V54" s="33">
        <f t="shared" si="10"/>
        <v>45596</v>
      </c>
    </row>
    <row r="55" spans="1:22" ht="14.5" x14ac:dyDescent="0.35">
      <c r="A55" s="32" t="s">
        <v>116</v>
      </c>
      <c r="B55" s="30">
        <v>45588.333333333299</v>
      </c>
      <c r="C55" s="30">
        <v>45604.708333333299</v>
      </c>
      <c r="D55" s="30">
        <v>45588.333333333299</v>
      </c>
      <c r="E55" s="30">
        <v>45604.708333333299</v>
      </c>
      <c r="F55" s="21" t="s">
        <v>112</v>
      </c>
      <c r="G55" s="25">
        <v>1</v>
      </c>
      <c r="H55" s="14">
        <v>135</v>
      </c>
      <c r="I55" s="18"/>
      <c r="J55" s="27">
        <v>1</v>
      </c>
      <c r="K55" s="29">
        <f t="shared" si="8"/>
        <v>16.375</v>
      </c>
      <c r="L55" s="29">
        <f t="shared" si="9"/>
        <v>16.375</v>
      </c>
      <c r="M55" s="19">
        <f t="shared" si="0"/>
        <v>17685</v>
      </c>
      <c r="N55" s="18">
        <f t="shared" si="1"/>
        <v>17685</v>
      </c>
      <c r="O55" s="18">
        <f ca="1">IF(Table2[[#This Row],[BL Project Start]]&gt;$B$2, 0,M55)</f>
        <v>17685</v>
      </c>
      <c r="P55" s="18">
        <f t="shared" si="2"/>
        <v>17685</v>
      </c>
      <c r="Q55" s="14">
        <f t="shared" si="3"/>
        <v>1</v>
      </c>
      <c r="R55" s="28">
        <f t="shared" ca="1" si="4"/>
        <v>1</v>
      </c>
      <c r="S55" s="23">
        <f t="shared" si="5"/>
        <v>0</v>
      </c>
      <c r="T55" s="23">
        <f t="shared" ca="1" si="6"/>
        <v>0</v>
      </c>
      <c r="U55" s="23">
        <f t="shared" si="7"/>
        <v>17685</v>
      </c>
      <c r="V55" s="33">
        <f t="shared" si="10"/>
        <v>45626</v>
      </c>
    </row>
    <row r="56" spans="1:22" ht="14.5" x14ac:dyDescent="0.35">
      <c r="A56" s="32" t="s">
        <v>118</v>
      </c>
      <c r="B56" s="30">
        <v>45588.333333333299</v>
      </c>
      <c r="C56" s="30">
        <v>45615.708333333299</v>
      </c>
      <c r="D56" s="30">
        <v>45588.333333333299</v>
      </c>
      <c r="E56" s="30">
        <v>45615.708333333299</v>
      </c>
      <c r="F56" s="21" t="s">
        <v>112</v>
      </c>
      <c r="G56" s="25">
        <v>1</v>
      </c>
      <c r="H56" s="14">
        <v>135</v>
      </c>
      <c r="I56" s="18"/>
      <c r="J56" s="27">
        <v>1</v>
      </c>
      <c r="K56" s="29">
        <f t="shared" si="8"/>
        <v>27.375</v>
      </c>
      <c r="L56" s="29">
        <f t="shared" si="9"/>
        <v>27.375</v>
      </c>
      <c r="M56" s="19">
        <f t="shared" si="0"/>
        <v>29565</v>
      </c>
      <c r="N56" s="18">
        <f t="shared" si="1"/>
        <v>29565</v>
      </c>
      <c r="O56" s="18">
        <f ca="1">IF(Table2[[#This Row],[BL Project Start]]&gt;$B$2, 0,M56)</f>
        <v>29565</v>
      </c>
      <c r="P56" s="18">
        <f t="shared" si="2"/>
        <v>29565</v>
      </c>
      <c r="Q56" s="14">
        <f t="shared" si="3"/>
        <v>1</v>
      </c>
      <c r="R56" s="28">
        <f t="shared" ca="1" si="4"/>
        <v>1</v>
      </c>
      <c r="S56" s="23">
        <f t="shared" si="5"/>
        <v>0</v>
      </c>
      <c r="T56" s="23">
        <f t="shared" ca="1" si="6"/>
        <v>0</v>
      </c>
      <c r="U56" s="23">
        <f t="shared" si="7"/>
        <v>29565</v>
      </c>
      <c r="V56" s="33">
        <f t="shared" si="10"/>
        <v>45626</v>
      </c>
    </row>
    <row r="57" spans="1:22" ht="14.5" x14ac:dyDescent="0.35">
      <c r="A57" s="32" t="s">
        <v>120</v>
      </c>
      <c r="B57" s="30">
        <v>45616.333333333299</v>
      </c>
      <c r="C57" s="30">
        <v>45638.708333333299</v>
      </c>
      <c r="D57" s="30">
        <v>45616.333333333299</v>
      </c>
      <c r="E57" s="30">
        <v>45638.708333333299</v>
      </c>
      <c r="F57" s="21" t="s">
        <v>112</v>
      </c>
      <c r="G57" s="25">
        <v>1</v>
      </c>
      <c r="H57" s="14">
        <v>135</v>
      </c>
      <c r="I57" s="18"/>
      <c r="J57" s="27">
        <v>1</v>
      </c>
      <c r="K57" s="29">
        <f t="shared" si="8"/>
        <v>22.375</v>
      </c>
      <c r="L57" s="29">
        <f t="shared" si="9"/>
        <v>22.375</v>
      </c>
      <c r="M57" s="19">
        <f t="shared" si="0"/>
        <v>24165</v>
      </c>
      <c r="N57" s="18">
        <f t="shared" si="1"/>
        <v>24165</v>
      </c>
      <c r="O57" s="18">
        <f ca="1">IF(Table2[[#This Row],[BL Project Start]]&gt;$B$2, 0,M57)</f>
        <v>24165</v>
      </c>
      <c r="P57" s="18">
        <f t="shared" si="2"/>
        <v>24165</v>
      </c>
      <c r="Q57" s="14">
        <f t="shared" si="3"/>
        <v>1</v>
      </c>
      <c r="R57" s="28">
        <f t="shared" ca="1" si="4"/>
        <v>1</v>
      </c>
      <c r="S57" s="23">
        <f t="shared" si="5"/>
        <v>0</v>
      </c>
      <c r="T57" s="23">
        <f t="shared" ca="1" si="6"/>
        <v>0</v>
      </c>
      <c r="U57" s="23">
        <f t="shared" si="7"/>
        <v>24165</v>
      </c>
      <c r="V57" s="33">
        <f t="shared" si="10"/>
        <v>45657</v>
      </c>
    </row>
    <row r="58" spans="1:22" ht="14.5" x14ac:dyDescent="0.35">
      <c r="A58" s="32" t="s">
        <v>122</v>
      </c>
      <c r="B58" s="30">
        <v>45639.333333333299</v>
      </c>
      <c r="C58" s="30">
        <v>45658.708333333299</v>
      </c>
      <c r="D58" s="30">
        <v>45639.333333333299</v>
      </c>
      <c r="E58" s="30">
        <v>45658.708333333299</v>
      </c>
      <c r="F58" s="21" t="s">
        <v>112</v>
      </c>
      <c r="G58" s="25">
        <v>1</v>
      </c>
      <c r="H58" s="14">
        <v>135</v>
      </c>
      <c r="I58" s="18"/>
      <c r="J58" s="27">
        <v>1</v>
      </c>
      <c r="K58" s="29">
        <f t="shared" si="8"/>
        <v>19.375</v>
      </c>
      <c r="L58" s="29">
        <f t="shared" si="9"/>
        <v>19.375</v>
      </c>
      <c r="M58" s="19">
        <f t="shared" si="0"/>
        <v>20925</v>
      </c>
      <c r="N58" s="18">
        <f t="shared" si="1"/>
        <v>20925</v>
      </c>
      <c r="O58" s="18">
        <f ca="1">IF(Table2[[#This Row],[BL Project Start]]&gt;$B$2, 0,M58)</f>
        <v>20925</v>
      </c>
      <c r="P58" s="18">
        <f t="shared" si="2"/>
        <v>20925</v>
      </c>
      <c r="Q58" s="14">
        <f t="shared" si="3"/>
        <v>1</v>
      </c>
      <c r="R58" s="28">
        <f t="shared" ca="1" si="4"/>
        <v>1</v>
      </c>
      <c r="S58" s="23">
        <f t="shared" si="5"/>
        <v>0</v>
      </c>
      <c r="T58" s="23">
        <f t="shared" ca="1" si="6"/>
        <v>0</v>
      </c>
      <c r="U58" s="23">
        <f t="shared" si="7"/>
        <v>20925</v>
      </c>
      <c r="V58" s="33">
        <f t="shared" si="10"/>
        <v>45688</v>
      </c>
    </row>
    <row r="59" spans="1:22" ht="14.5" x14ac:dyDescent="0.35">
      <c r="A59" s="32" t="s">
        <v>124</v>
      </c>
      <c r="B59" s="30">
        <v>45639.333333333299</v>
      </c>
      <c r="C59" s="30">
        <v>45652.708333333299</v>
      </c>
      <c r="D59" s="30">
        <v>45639.333333333299</v>
      </c>
      <c r="E59" s="30">
        <v>45652.708333333299</v>
      </c>
      <c r="F59" s="21" t="s">
        <v>112</v>
      </c>
      <c r="G59" s="25">
        <v>1</v>
      </c>
      <c r="H59" s="14">
        <v>135</v>
      </c>
      <c r="I59" s="18"/>
      <c r="J59" s="27">
        <v>1</v>
      </c>
      <c r="K59" s="29">
        <f t="shared" si="8"/>
        <v>13.375</v>
      </c>
      <c r="L59" s="29">
        <f t="shared" si="9"/>
        <v>13.375</v>
      </c>
      <c r="M59" s="19">
        <f t="shared" si="0"/>
        <v>14445</v>
      </c>
      <c r="N59" s="18">
        <f t="shared" si="1"/>
        <v>14445</v>
      </c>
      <c r="O59" s="18">
        <f ca="1">IF(Table2[[#This Row],[BL Project Start]]&gt;$B$2, 0,M59)</f>
        <v>14445</v>
      </c>
      <c r="P59" s="18">
        <f t="shared" si="2"/>
        <v>14445</v>
      </c>
      <c r="Q59" s="14">
        <f t="shared" si="3"/>
        <v>1</v>
      </c>
      <c r="R59" s="28">
        <f t="shared" ca="1" si="4"/>
        <v>1</v>
      </c>
      <c r="S59" s="23">
        <f t="shared" si="5"/>
        <v>0</v>
      </c>
      <c r="T59" s="23">
        <f t="shared" ca="1" si="6"/>
        <v>0</v>
      </c>
      <c r="U59" s="23">
        <f t="shared" si="7"/>
        <v>14445</v>
      </c>
      <c r="V59" s="33">
        <f t="shared" si="10"/>
        <v>45657</v>
      </c>
    </row>
    <row r="60" spans="1:22" ht="14.5" x14ac:dyDescent="0.35">
      <c r="A60" s="32" t="s">
        <v>126</v>
      </c>
      <c r="B60" s="30" t="s">
        <v>5</v>
      </c>
      <c r="C60" s="30">
        <v>45659.708333333299</v>
      </c>
      <c r="D60" s="30" t="s">
        <v>5</v>
      </c>
      <c r="E60" s="30">
        <v>45659.708333333299</v>
      </c>
      <c r="F60" s="21" t="s">
        <v>5</v>
      </c>
      <c r="G60" s="25">
        <v>1</v>
      </c>
      <c r="H60" s="14" t="s">
        <v>5</v>
      </c>
      <c r="I60" s="18"/>
      <c r="J60" s="27">
        <v>1</v>
      </c>
      <c r="K60" s="29">
        <f t="shared" si="8"/>
        <v>0</v>
      </c>
      <c r="L60" s="29">
        <f t="shared" si="9"/>
        <v>0</v>
      </c>
      <c r="M60" s="19">
        <f t="shared" si="0"/>
        <v>0</v>
      </c>
      <c r="N60" s="18">
        <f t="shared" si="1"/>
        <v>0</v>
      </c>
      <c r="O60" s="18">
        <f ca="1">IF(Table2[[#This Row],[BL Project Start]]&gt;$B$2, 0,M60)</f>
        <v>0</v>
      </c>
      <c r="P60" s="18">
        <f t="shared" si="2"/>
        <v>0</v>
      </c>
      <c r="Q60" s="14" t="str">
        <f t="shared" si="3"/>
        <v/>
      </c>
      <c r="R60" s="28" t="str">
        <f t="shared" ca="1" si="4"/>
        <v/>
      </c>
      <c r="S60" s="23">
        <f t="shared" si="5"/>
        <v>0</v>
      </c>
      <c r="T60" s="23">
        <f t="shared" ca="1" si="6"/>
        <v>0</v>
      </c>
      <c r="U60" s="23">
        <f t="shared" si="7"/>
        <v>0</v>
      </c>
      <c r="V60" s="33">
        <f t="shared" si="10"/>
        <v>45688</v>
      </c>
    </row>
    <row r="61" spans="1:22" ht="14.5" x14ac:dyDescent="0.35">
      <c r="A61" s="32" t="s">
        <v>128</v>
      </c>
      <c r="B61" s="30">
        <v>45672.333333333299</v>
      </c>
      <c r="C61" s="30">
        <v>45692.708333333299</v>
      </c>
      <c r="D61" s="30">
        <v>45672.333333333299</v>
      </c>
      <c r="E61" s="30">
        <v>45692.708333333299</v>
      </c>
      <c r="F61" s="21" t="s">
        <v>129</v>
      </c>
      <c r="G61" s="25">
        <v>1</v>
      </c>
      <c r="H61" s="14">
        <v>135</v>
      </c>
      <c r="I61" s="18"/>
      <c r="J61" s="27">
        <v>1</v>
      </c>
      <c r="K61" s="29">
        <f t="shared" si="8"/>
        <v>20.375</v>
      </c>
      <c r="L61" s="29">
        <f t="shared" si="9"/>
        <v>20.375</v>
      </c>
      <c r="M61" s="19">
        <f t="shared" si="0"/>
        <v>22005</v>
      </c>
      <c r="N61" s="18">
        <f t="shared" si="1"/>
        <v>22005</v>
      </c>
      <c r="O61" s="18">
        <f ca="1">IF(Table2[[#This Row],[BL Project Start]]&gt;$B$2, 0,M61)</f>
        <v>22005</v>
      </c>
      <c r="P61" s="18">
        <f t="shared" si="2"/>
        <v>22005</v>
      </c>
      <c r="Q61" s="14">
        <f t="shared" si="3"/>
        <v>1</v>
      </c>
      <c r="R61" s="28">
        <f t="shared" ca="1" si="4"/>
        <v>1</v>
      </c>
      <c r="S61" s="23">
        <f t="shared" si="5"/>
        <v>0</v>
      </c>
      <c r="T61" s="23">
        <f t="shared" ca="1" si="6"/>
        <v>0</v>
      </c>
      <c r="U61" s="23">
        <f t="shared" si="7"/>
        <v>22005</v>
      </c>
      <c r="V61" s="33">
        <f t="shared" si="10"/>
        <v>45716</v>
      </c>
    </row>
    <row r="62" spans="1:22" ht="14.5" x14ac:dyDescent="0.35">
      <c r="A62" s="32" t="s">
        <v>131</v>
      </c>
      <c r="B62" s="30">
        <v>45693.333333333299</v>
      </c>
      <c r="C62" s="30">
        <v>45714.708333333299</v>
      </c>
      <c r="D62" s="30">
        <v>45693.333333333299</v>
      </c>
      <c r="E62" s="30">
        <v>45714.708333333299</v>
      </c>
      <c r="F62" s="21" t="s">
        <v>129</v>
      </c>
      <c r="G62" s="25">
        <v>1</v>
      </c>
      <c r="H62" s="14">
        <v>135</v>
      </c>
      <c r="I62" s="18"/>
      <c r="J62" s="27">
        <v>1</v>
      </c>
      <c r="K62" s="29">
        <f t="shared" si="8"/>
        <v>21.375</v>
      </c>
      <c r="L62" s="29">
        <f t="shared" si="9"/>
        <v>21.375</v>
      </c>
      <c r="M62" s="19">
        <f t="shared" si="0"/>
        <v>23085</v>
      </c>
      <c r="N62" s="18">
        <f t="shared" si="1"/>
        <v>23085</v>
      </c>
      <c r="O62" s="18">
        <f ca="1">IF(Table2[[#This Row],[BL Project Start]]&gt;$B$2, 0,M62)</f>
        <v>23085</v>
      </c>
      <c r="P62" s="18">
        <f t="shared" si="2"/>
        <v>23085</v>
      </c>
      <c r="Q62" s="14">
        <f t="shared" si="3"/>
        <v>1</v>
      </c>
      <c r="R62" s="28">
        <f t="shared" ca="1" si="4"/>
        <v>1</v>
      </c>
      <c r="S62" s="23">
        <f t="shared" si="5"/>
        <v>0</v>
      </c>
      <c r="T62" s="23">
        <f t="shared" ca="1" si="6"/>
        <v>0</v>
      </c>
      <c r="U62" s="23">
        <f t="shared" si="7"/>
        <v>23085</v>
      </c>
      <c r="V62" s="33">
        <f t="shared" si="10"/>
        <v>45716</v>
      </c>
    </row>
    <row r="63" spans="1:22" ht="14.5" x14ac:dyDescent="0.35">
      <c r="A63" s="32" t="s">
        <v>133</v>
      </c>
      <c r="B63" s="30">
        <v>45715.333333333299</v>
      </c>
      <c r="C63" s="30">
        <v>45728.708333333299</v>
      </c>
      <c r="D63" s="30">
        <v>45715.333333333299</v>
      </c>
      <c r="E63" s="30" t="s">
        <v>5</v>
      </c>
      <c r="F63" s="21" t="s">
        <v>129</v>
      </c>
      <c r="G63" s="25">
        <v>0.4</v>
      </c>
      <c r="H63" s="14">
        <v>135</v>
      </c>
      <c r="I63" s="18"/>
      <c r="J63" s="27">
        <v>1</v>
      </c>
      <c r="K63" s="29">
        <f t="shared" si="8"/>
        <v>13.375</v>
      </c>
      <c r="L63" s="29">
        <f t="shared" si="9"/>
        <v>0</v>
      </c>
      <c r="M63" s="19">
        <f t="shared" si="0"/>
        <v>14445</v>
      </c>
      <c r="N63" s="18">
        <f t="shared" si="1"/>
        <v>0</v>
      </c>
      <c r="O63" s="18">
        <f ca="1">IF(Table2[[#This Row],[BL Project Start]]&gt;$B$2, 0,M63)</f>
        <v>14445</v>
      </c>
      <c r="P63" s="18">
        <f t="shared" si="2"/>
        <v>5778</v>
      </c>
      <c r="Q63" s="14" t="str">
        <f t="shared" si="3"/>
        <v/>
      </c>
      <c r="R63" s="28">
        <f t="shared" ca="1" si="4"/>
        <v>0.4</v>
      </c>
      <c r="S63" s="23">
        <f t="shared" si="5"/>
        <v>5778</v>
      </c>
      <c r="T63" s="23">
        <f t="shared" ca="1" si="6"/>
        <v>-8667</v>
      </c>
      <c r="U63" s="23">
        <f t="shared" si="7"/>
        <v>8667</v>
      </c>
      <c r="V63" s="33">
        <f t="shared" si="10"/>
        <v>45747</v>
      </c>
    </row>
    <row r="64" spans="1:22" ht="14.5" x14ac:dyDescent="0.35">
      <c r="A64" s="32" t="s">
        <v>135</v>
      </c>
      <c r="B64" s="30">
        <v>45729.333333333299</v>
      </c>
      <c r="C64" s="30">
        <v>45750.708333333299</v>
      </c>
      <c r="D64" s="30">
        <v>45729.333333333299</v>
      </c>
      <c r="E64" s="30">
        <v>45750.708333333299</v>
      </c>
      <c r="F64" s="21" t="s">
        <v>129</v>
      </c>
      <c r="G64" s="25">
        <v>1</v>
      </c>
      <c r="H64" s="14">
        <v>135</v>
      </c>
      <c r="I64" s="18"/>
      <c r="J64" s="27">
        <v>1</v>
      </c>
      <c r="K64" s="29">
        <f t="shared" si="8"/>
        <v>21.375</v>
      </c>
      <c r="L64" s="29">
        <f t="shared" si="9"/>
        <v>21.375</v>
      </c>
      <c r="M64" s="19">
        <f t="shared" si="0"/>
        <v>23085</v>
      </c>
      <c r="N64" s="18">
        <f t="shared" si="1"/>
        <v>23085</v>
      </c>
      <c r="O64" s="18">
        <f ca="1">IF(Table2[[#This Row],[BL Project Start]]&gt;$B$2, 0,M64)</f>
        <v>23085</v>
      </c>
      <c r="P64" s="18">
        <f t="shared" si="2"/>
        <v>23085</v>
      </c>
      <c r="Q64" s="14">
        <f t="shared" si="3"/>
        <v>1</v>
      </c>
      <c r="R64" s="28">
        <f t="shared" ca="1" si="4"/>
        <v>1</v>
      </c>
      <c r="S64" s="23">
        <f t="shared" si="5"/>
        <v>0</v>
      </c>
      <c r="T64" s="23">
        <f t="shared" ca="1" si="6"/>
        <v>0</v>
      </c>
      <c r="U64" s="23">
        <f t="shared" si="7"/>
        <v>23085</v>
      </c>
      <c r="V64" s="33">
        <f t="shared" si="10"/>
        <v>45777</v>
      </c>
    </row>
    <row r="65" spans="1:22" ht="14.5" x14ac:dyDescent="0.35">
      <c r="A65" s="32" t="s">
        <v>137</v>
      </c>
      <c r="B65" s="30">
        <v>45607.333333333299</v>
      </c>
      <c r="C65" s="30">
        <v>45621.708333333299</v>
      </c>
      <c r="D65" s="30">
        <v>45607.333333333299</v>
      </c>
      <c r="E65" s="30">
        <v>45621.708333333299</v>
      </c>
      <c r="F65" s="21" t="s">
        <v>129</v>
      </c>
      <c r="G65" s="25">
        <v>1</v>
      </c>
      <c r="H65" s="14">
        <v>135</v>
      </c>
      <c r="I65" s="18"/>
      <c r="J65" s="27">
        <v>1</v>
      </c>
      <c r="K65" s="29">
        <f t="shared" si="8"/>
        <v>14.375</v>
      </c>
      <c r="L65" s="29">
        <f t="shared" si="9"/>
        <v>14.375</v>
      </c>
      <c r="M65" s="19">
        <f t="shared" si="0"/>
        <v>15525</v>
      </c>
      <c r="N65" s="18">
        <f t="shared" si="1"/>
        <v>15525</v>
      </c>
      <c r="O65" s="18">
        <f ca="1">IF(Table2[[#This Row],[BL Project Start]]&gt;$B$2, 0,M65)</f>
        <v>15525</v>
      </c>
      <c r="P65" s="18">
        <f t="shared" si="2"/>
        <v>15525</v>
      </c>
      <c r="Q65" s="14">
        <f t="shared" si="3"/>
        <v>1</v>
      </c>
      <c r="R65" s="28">
        <f t="shared" ca="1" si="4"/>
        <v>1</v>
      </c>
      <c r="S65" s="23">
        <f t="shared" si="5"/>
        <v>0</v>
      </c>
      <c r="T65" s="23">
        <f t="shared" ca="1" si="6"/>
        <v>0</v>
      </c>
      <c r="U65" s="23">
        <f t="shared" si="7"/>
        <v>15525</v>
      </c>
      <c r="V65" s="33">
        <f t="shared" si="10"/>
        <v>45626</v>
      </c>
    </row>
    <row r="66" spans="1:22" ht="14.5" x14ac:dyDescent="0.35">
      <c r="A66" s="32" t="s">
        <v>139</v>
      </c>
      <c r="B66" s="30">
        <v>45653.333333333299</v>
      </c>
      <c r="C66" s="30">
        <v>45665.708333333299</v>
      </c>
      <c r="D66" s="30">
        <v>45653.333333333299</v>
      </c>
      <c r="E66" s="30">
        <v>45665.708333333299</v>
      </c>
      <c r="F66" s="21" t="s">
        <v>129</v>
      </c>
      <c r="G66" s="25">
        <v>1</v>
      </c>
      <c r="H66" s="14">
        <v>135</v>
      </c>
      <c r="I66" s="18"/>
      <c r="J66" s="27">
        <v>1</v>
      </c>
      <c r="K66" s="29">
        <f t="shared" si="8"/>
        <v>12.375</v>
      </c>
      <c r="L66" s="29">
        <f t="shared" si="9"/>
        <v>12.375</v>
      </c>
      <c r="M66" s="19">
        <f t="shared" si="0"/>
        <v>13365</v>
      </c>
      <c r="N66" s="18">
        <f t="shared" si="1"/>
        <v>13365</v>
      </c>
      <c r="O66" s="18">
        <f ca="1">IF(Table2[[#This Row],[BL Project Start]]&gt;$B$2, 0,M66)</f>
        <v>13365</v>
      </c>
      <c r="P66" s="18">
        <f t="shared" si="2"/>
        <v>13365</v>
      </c>
      <c r="Q66" s="14">
        <f t="shared" si="3"/>
        <v>1</v>
      </c>
      <c r="R66" s="28">
        <f t="shared" ca="1" si="4"/>
        <v>1</v>
      </c>
      <c r="S66" s="23">
        <f t="shared" si="5"/>
        <v>0</v>
      </c>
      <c r="T66" s="23">
        <f t="shared" ca="1" si="6"/>
        <v>0</v>
      </c>
      <c r="U66" s="23">
        <f t="shared" si="7"/>
        <v>13365</v>
      </c>
      <c r="V66" s="33">
        <f t="shared" si="10"/>
        <v>45688</v>
      </c>
    </row>
    <row r="67" spans="1:22" ht="14.5" x14ac:dyDescent="0.35">
      <c r="A67" s="32" t="s">
        <v>141</v>
      </c>
      <c r="B67" s="30">
        <v>45729.333333333299</v>
      </c>
      <c r="C67" s="30">
        <v>45756.708333333299</v>
      </c>
      <c r="D67" s="30">
        <v>45729.333333333299</v>
      </c>
      <c r="E67" s="30">
        <v>45757.708333333299</v>
      </c>
      <c r="F67" s="21" t="s">
        <v>129</v>
      </c>
      <c r="G67" s="25">
        <v>1</v>
      </c>
      <c r="H67" s="14">
        <v>135</v>
      </c>
      <c r="I67" s="18"/>
      <c r="J67" s="27">
        <v>1</v>
      </c>
      <c r="K67" s="29">
        <f t="shared" si="8"/>
        <v>27.375</v>
      </c>
      <c r="L67" s="29">
        <f t="shared" si="9"/>
        <v>28.375</v>
      </c>
      <c r="M67" s="19">
        <f t="shared" si="0"/>
        <v>29565</v>
      </c>
      <c r="N67" s="18">
        <f t="shared" si="1"/>
        <v>30645</v>
      </c>
      <c r="O67" s="18">
        <f ca="1">IF(Table2[[#This Row],[BL Project Start]]&gt;$B$2, 0,M67)</f>
        <v>29565</v>
      </c>
      <c r="P67" s="18">
        <f t="shared" si="2"/>
        <v>29565</v>
      </c>
      <c r="Q67" s="14">
        <f t="shared" si="3"/>
        <v>0.96475770925110127</v>
      </c>
      <c r="R67" s="28">
        <f t="shared" ca="1" si="4"/>
        <v>1</v>
      </c>
      <c r="S67" s="23">
        <f t="shared" si="5"/>
        <v>-1080</v>
      </c>
      <c r="T67" s="23">
        <f t="shared" ca="1" si="6"/>
        <v>0</v>
      </c>
      <c r="U67" s="23">
        <f t="shared" si="7"/>
        <v>30645</v>
      </c>
      <c r="V67" s="33">
        <f t="shared" si="10"/>
        <v>45777</v>
      </c>
    </row>
    <row r="68" spans="1:22" ht="14.5" x14ac:dyDescent="0.35">
      <c r="A68" s="32" t="s">
        <v>143</v>
      </c>
      <c r="B68" s="30">
        <v>45757.333333333299</v>
      </c>
      <c r="C68" s="30" t="s">
        <v>5</v>
      </c>
      <c r="D68" s="30">
        <v>45757.333333333299</v>
      </c>
      <c r="E68" s="30" t="s">
        <v>5</v>
      </c>
      <c r="F68" s="21" t="s">
        <v>5</v>
      </c>
      <c r="G68" s="25">
        <v>1</v>
      </c>
      <c r="H68" s="14" t="s">
        <v>5</v>
      </c>
      <c r="I68" s="18"/>
      <c r="J68" s="27">
        <v>1</v>
      </c>
      <c r="K68" s="29">
        <f t="shared" si="8"/>
        <v>0</v>
      </c>
      <c r="L68" s="29">
        <f t="shared" si="9"/>
        <v>0</v>
      </c>
      <c r="M68" s="19">
        <f t="shared" si="0"/>
        <v>0</v>
      </c>
      <c r="N68" s="18">
        <f t="shared" si="1"/>
        <v>0</v>
      </c>
      <c r="O68" s="18">
        <f ca="1">IF(Table2[[#This Row],[BL Project Start]]&gt;$B$2, 0,M68)</f>
        <v>0</v>
      </c>
      <c r="P68" s="18">
        <f t="shared" si="2"/>
        <v>0</v>
      </c>
      <c r="Q68" s="14" t="str">
        <f t="shared" si="3"/>
        <v/>
      </c>
      <c r="R68" s="28" t="str">
        <f t="shared" ca="1" si="4"/>
        <v/>
      </c>
      <c r="S68" s="23">
        <f t="shared" si="5"/>
        <v>0</v>
      </c>
      <c r="T68" s="23">
        <f t="shared" ca="1" si="6"/>
        <v>0</v>
      </c>
      <c r="U68" s="23">
        <f t="shared" si="7"/>
        <v>0</v>
      </c>
      <c r="V68" s="33">
        <f t="shared" si="10"/>
        <v>45777</v>
      </c>
    </row>
    <row r="69" spans="1:22" ht="14.5" x14ac:dyDescent="0.35">
      <c r="A69" s="32" t="s">
        <v>145</v>
      </c>
      <c r="B69" s="30">
        <v>45653.333333333299</v>
      </c>
      <c r="C69" s="30">
        <v>45674.708333333299</v>
      </c>
      <c r="D69" s="30">
        <v>45653.333333333299</v>
      </c>
      <c r="E69" s="30">
        <v>45674.708333333299</v>
      </c>
      <c r="F69" s="21" t="s">
        <v>70</v>
      </c>
      <c r="G69" s="25">
        <v>1</v>
      </c>
      <c r="H69" s="14">
        <v>135</v>
      </c>
      <c r="I69" s="18"/>
      <c r="J69" s="27">
        <v>1</v>
      </c>
      <c r="K69" s="29">
        <f t="shared" si="8"/>
        <v>21.375</v>
      </c>
      <c r="L69" s="29">
        <f t="shared" si="9"/>
        <v>21.375</v>
      </c>
      <c r="M69" s="19">
        <f t="shared" ref="M69:M132" si="11">IFERROR(H69*$B$3*K69*J69, 0)+I69</f>
        <v>23085</v>
      </c>
      <c r="N69" s="18">
        <f t="shared" ref="N69:N132" si="12">IFERROR(H69*$B$3*L69*J69, 0)+I69</f>
        <v>23085</v>
      </c>
      <c r="O69" s="18">
        <f ca="1">IF(Table2[[#This Row],[BL Project Start]]&gt;$B$2, 0,M69)</f>
        <v>23085</v>
      </c>
      <c r="P69" s="18">
        <f t="shared" ref="P69:P132" si="13">M69*G69</f>
        <v>23085</v>
      </c>
      <c r="Q69" s="14">
        <f t="shared" ref="Q69:Q132" si="14">IFERROR(P69/N69, "")</f>
        <v>1</v>
      </c>
      <c r="R69" s="28">
        <f t="shared" ref="R69:R132" ca="1" si="15">IFERROR(P69/O69, "")</f>
        <v>1</v>
      </c>
      <c r="S69" s="23">
        <f t="shared" ref="S69:S132" si="16">P69-N69</f>
        <v>0</v>
      </c>
      <c r="T69" s="23">
        <f t="shared" ref="T69:T132" ca="1" si="17">P69-O69</f>
        <v>0</v>
      </c>
      <c r="U69" s="23">
        <f t="shared" ref="U69:U132" si="18">N69+(M69-P69)</f>
        <v>23085</v>
      </c>
      <c r="V69" s="33">
        <f t="shared" si="10"/>
        <v>45688</v>
      </c>
    </row>
    <row r="70" spans="1:22" ht="14.5" x14ac:dyDescent="0.35">
      <c r="A70" s="32" t="s">
        <v>147</v>
      </c>
      <c r="B70" s="30">
        <v>45677.333333333299</v>
      </c>
      <c r="C70" s="30">
        <v>45693.708333333299</v>
      </c>
      <c r="D70" s="30">
        <v>45677.333333333299</v>
      </c>
      <c r="E70" s="30">
        <v>45693.708333333299</v>
      </c>
      <c r="F70" s="21" t="s">
        <v>70</v>
      </c>
      <c r="G70" s="25">
        <v>1</v>
      </c>
      <c r="H70" s="14">
        <v>135</v>
      </c>
      <c r="I70" s="18"/>
      <c r="J70" s="27">
        <v>1</v>
      </c>
      <c r="K70" s="29">
        <f t="shared" ref="K70:K133" si="19">IFERROR(C70-B70, 0)</f>
        <v>16.375</v>
      </c>
      <c r="L70" s="29">
        <f t="shared" ref="L70:L133" si="20">IFERROR(E70-D70, 0)</f>
        <v>16.375</v>
      </c>
      <c r="M70" s="19">
        <f t="shared" si="11"/>
        <v>17685</v>
      </c>
      <c r="N70" s="18">
        <f t="shared" si="12"/>
        <v>17685</v>
      </c>
      <c r="O70" s="18">
        <f ca="1">IF(Table2[[#This Row],[BL Project Start]]&gt;$B$2, 0,M70)</f>
        <v>17685</v>
      </c>
      <c r="P70" s="18">
        <f t="shared" si="13"/>
        <v>17685</v>
      </c>
      <c r="Q70" s="14">
        <f t="shared" si="14"/>
        <v>1</v>
      </c>
      <c r="R70" s="28">
        <f t="shared" ca="1" si="15"/>
        <v>1</v>
      </c>
      <c r="S70" s="23">
        <f t="shared" si="16"/>
        <v>0</v>
      </c>
      <c r="T70" s="23">
        <f t="shared" ca="1" si="17"/>
        <v>0</v>
      </c>
      <c r="U70" s="23">
        <f t="shared" si="18"/>
        <v>17685</v>
      </c>
      <c r="V70" s="33">
        <f t="shared" ref="V70:V133" si="21">EOMONTH(IF($C70="",$B70,$C70),0)</f>
        <v>45716</v>
      </c>
    </row>
    <row r="71" spans="1:22" ht="14.5" x14ac:dyDescent="0.35">
      <c r="A71" s="32" t="s">
        <v>149</v>
      </c>
      <c r="B71" s="30">
        <v>45694.333333333299</v>
      </c>
      <c r="C71" s="30">
        <v>45723.708333333299</v>
      </c>
      <c r="D71" s="30">
        <v>45694.333333333299</v>
      </c>
      <c r="E71" s="30" t="s">
        <v>5</v>
      </c>
      <c r="F71" s="21" t="s">
        <v>70</v>
      </c>
      <c r="G71" s="25">
        <v>0.90910000000000002</v>
      </c>
      <c r="H71" s="14">
        <v>135</v>
      </c>
      <c r="I71" s="18"/>
      <c r="J71" s="27">
        <v>1</v>
      </c>
      <c r="K71" s="29">
        <f t="shared" si="19"/>
        <v>29.375</v>
      </c>
      <c r="L71" s="29">
        <f t="shared" si="20"/>
        <v>0</v>
      </c>
      <c r="M71" s="19">
        <f t="shared" si="11"/>
        <v>31725</v>
      </c>
      <c r="N71" s="18">
        <f t="shared" si="12"/>
        <v>0</v>
      </c>
      <c r="O71" s="18">
        <f ca="1">IF(Table2[[#This Row],[BL Project Start]]&gt;$B$2, 0,M71)</f>
        <v>31725</v>
      </c>
      <c r="P71" s="18">
        <f t="shared" si="13"/>
        <v>28841.197500000002</v>
      </c>
      <c r="Q71" s="14" t="str">
        <f t="shared" si="14"/>
        <v/>
      </c>
      <c r="R71" s="28">
        <f t="shared" ca="1" si="15"/>
        <v>0.90910000000000002</v>
      </c>
      <c r="S71" s="23">
        <f t="shared" si="16"/>
        <v>28841.197500000002</v>
      </c>
      <c r="T71" s="23">
        <f t="shared" ca="1" si="17"/>
        <v>-2883.802499999998</v>
      </c>
      <c r="U71" s="23">
        <f t="shared" si="18"/>
        <v>2883.802499999998</v>
      </c>
      <c r="V71" s="33">
        <f t="shared" si="21"/>
        <v>45747</v>
      </c>
    </row>
    <row r="72" spans="1:22" ht="14.5" x14ac:dyDescent="0.35">
      <c r="A72" s="32" t="s">
        <v>151</v>
      </c>
      <c r="B72" s="30">
        <v>45667.333333333299</v>
      </c>
      <c r="C72" s="30">
        <v>45687.708333333299</v>
      </c>
      <c r="D72" s="30">
        <v>45667.333333333299</v>
      </c>
      <c r="E72" s="30">
        <v>45687.708333333299</v>
      </c>
      <c r="F72" s="21" t="s">
        <v>70</v>
      </c>
      <c r="G72" s="25">
        <v>1</v>
      </c>
      <c r="H72" s="14">
        <v>135</v>
      </c>
      <c r="I72" s="18"/>
      <c r="J72" s="27">
        <v>1</v>
      </c>
      <c r="K72" s="29">
        <f t="shared" si="19"/>
        <v>20.375</v>
      </c>
      <c r="L72" s="29">
        <f t="shared" si="20"/>
        <v>20.375</v>
      </c>
      <c r="M72" s="19">
        <f t="shared" si="11"/>
        <v>22005</v>
      </c>
      <c r="N72" s="18">
        <f t="shared" si="12"/>
        <v>22005</v>
      </c>
      <c r="O72" s="18">
        <f ca="1">IF(Table2[[#This Row],[BL Project Start]]&gt;$B$2, 0,M72)</f>
        <v>22005</v>
      </c>
      <c r="P72" s="18">
        <f t="shared" si="13"/>
        <v>22005</v>
      </c>
      <c r="Q72" s="14">
        <f t="shared" si="14"/>
        <v>1</v>
      </c>
      <c r="R72" s="28">
        <f t="shared" ca="1" si="15"/>
        <v>1</v>
      </c>
      <c r="S72" s="23">
        <f t="shared" si="16"/>
        <v>0</v>
      </c>
      <c r="T72" s="23">
        <f t="shared" ca="1" si="17"/>
        <v>0</v>
      </c>
      <c r="U72" s="23">
        <f t="shared" si="18"/>
        <v>22005</v>
      </c>
      <c r="V72" s="33">
        <f t="shared" si="21"/>
        <v>45688</v>
      </c>
    </row>
    <row r="73" spans="1:22" ht="14.5" x14ac:dyDescent="0.35">
      <c r="A73" s="32" t="s">
        <v>658</v>
      </c>
      <c r="B73" s="30">
        <v>45686.333333333299</v>
      </c>
      <c r="C73" s="30">
        <v>45702.708333333299</v>
      </c>
      <c r="D73" s="30">
        <v>45686.333333333299</v>
      </c>
      <c r="E73" s="30">
        <v>45702.708333333299</v>
      </c>
      <c r="F73" s="21" t="s">
        <v>70</v>
      </c>
      <c r="G73" s="25">
        <v>1</v>
      </c>
      <c r="H73" s="14">
        <v>135</v>
      </c>
      <c r="I73" s="18"/>
      <c r="J73" s="27">
        <v>1</v>
      </c>
      <c r="K73" s="29">
        <f t="shared" si="19"/>
        <v>16.375</v>
      </c>
      <c r="L73" s="29">
        <f t="shared" si="20"/>
        <v>16.375</v>
      </c>
      <c r="M73" s="19">
        <f t="shared" si="11"/>
        <v>17685</v>
      </c>
      <c r="N73" s="18">
        <f t="shared" si="12"/>
        <v>17685</v>
      </c>
      <c r="O73" s="18">
        <f ca="1">IF(Table2[[#This Row],[BL Project Start]]&gt;$B$2, 0,M73)</f>
        <v>17685</v>
      </c>
      <c r="P73" s="18">
        <f t="shared" si="13"/>
        <v>17685</v>
      </c>
      <c r="Q73" s="14">
        <f t="shared" si="14"/>
        <v>1</v>
      </c>
      <c r="R73" s="28">
        <f t="shared" ca="1" si="15"/>
        <v>1</v>
      </c>
      <c r="S73" s="23">
        <f t="shared" si="16"/>
        <v>0</v>
      </c>
      <c r="T73" s="23">
        <f t="shared" ca="1" si="17"/>
        <v>0</v>
      </c>
      <c r="U73" s="23">
        <f t="shared" si="18"/>
        <v>17685</v>
      </c>
      <c r="V73" s="33">
        <f t="shared" si="21"/>
        <v>45716</v>
      </c>
    </row>
    <row r="74" spans="1:22" ht="14.5" x14ac:dyDescent="0.35">
      <c r="A74" s="32" t="s">
        <v>155</v>
      </c>
      <c r="B74" s="30">
        <v>45698.333333333299</v>
      </c>
      <c r="C74" s="30">
        <v>45709.708333333299</v>
      </c>
      <c r="D74" s="30">
        <v>45698.333333333299</v>
      </c>
      <c r="E74" s="30">
        <v>45709.708333333299</v>
      </c>
      <c r="F74" s="21" t="s">
        <v>70</v>
      </c>
      <c r="G74" s="25">
        <v>1</v>
      </c>
      <c r="H74" s="14">
        <v>135</v>
      </c>
      <c r="I74" s="18"/>
      <c r="J74" s="27">
        <v>1</v>
      </c>
      <c r="K74" s="29">
        <f t="shared" si="19"/>
        <v>11.375</v>
      </c>
      <c r="L74" s="29">
        <f t="shared" si="20"/>
        <v>11.375</v>
      </c>
      <c r="M74" s="19">
        <f t="shared" si="11"/>
        <v>12285</v>
      </c>
      <c r="N74" s="18">
        <f t="shared" si="12"/>
        <v>12285</v>
      </c>
      <c r="O74" s="18">
        <f ca="1">IF(Table2[[#This Row],[BL Project Start]]&gt;$B$2, 0,M74)</f>
        <v>12285</v>
      </c>
      <c r="P74" s="18">
        <f t="shared" si="13"/>
        <v>12285</v>
      </c>
      <c r="Q74" s="14">
        <f t="shared" si="14"/>
        <v>1</v>
      </c>
      <c r="R74" s="28">
        <f t="shared" ca="1" si="15"/>
        <v>1</v>
      </c>
      <c r="S74" s="23">
        <f t="shared" si="16"/>
        <v>0</v>
      </c>
      <c r="T74" s="23">
        <f t="shared" ca="1" si="17"/>
        <v>0</v>
      </c>
      <c r="U74" s="23">
        <f t="shared" si="18"/>
        <v>12285</v>
      </c>
      <c r="V74" s="33">
        <f t="shared" si="21"/>
        <v>45716</v>
      </c>
    </row>
    <row r="75" spans="1:22" ht="14.5" x14ac:dyDescent="0.35">
      <c r="A75" s="32" t="s">
        <v>157</v>
      </c>
      <c r="B75" s="30" t="s">
        <v>5</v>
      </c>
      <c r="C75" s="30">
        <v>45726.708333333299</v>
      </c>
      <c r="D75" s="30" t="s">
        <v>5</v>
      </c>
      <c r="E75" s="30">
        <v>45727.708333333299</v>
      </c>
      <c r="F75" s="21" t="s">
        <v>5</v>
      </c>
      <c r="G75" s="25">
        <v>1</v>
      </c>
      <c r="H75" s="14" t="s">
        <v>5</v>
      </c>
      <c r="I75" s="18"/>
      <c r="J75" s="27">
        <v>1</v>
      </c>
      <c r="K75" s="29">
        <f t="shared" si="19"/>
        <v>0</v>
      </c>
      <c r="L75" s="29">
        <f t="shared" si="20"/>
        <v>0</v>
      </c>
      <c r="M75" s="19">
        <f t="shared" si="11"/>
        <v>0</v>
      </c>
      <c r="N75" s="18">
        <f t="shared" si="12"/>
        <v>0</v>
      </c>
      <c r="O75" s="18">
        <f ca="1">IF(Table2[[#This Row],[BL Project Start]]&gt;$B$2, 0,M75)</f>
        <v>0</v>
      </c>
      <c r="P75" s="18">
        <f t="shared" si="13"/>
        <v>0</v>
      </c>
      <c r="Q75" s="14" t="str">
        <f t="shared" si="14"/>
        <v/>
      </c>
      <c r="R75" s="28" t="str">
        <f t="shared" ca="1" si="15"/>
        <v/>
      </c>
      <c r="S75" s="23">
        <f t="shared" si="16"/>
        <v>0</v>
      </c>
      <c r="T75" s="23">
        <f t="shared" ca="1" si="17"/>
        <v>0</v>
      </c>
      <c r="U75" s="23">
        <f t="shared" si="18"/>
        <v>0</v>
      </c>
      <c r="V75" s="33">
        <f t="shared" si="21"/>
        <v>45747</v>
      </c>
    </row>
    <row r="76" spans="1:22" ht="14.5" x14ac:dyDescent="0.35">
      <c r="A76" s="32" t="s">
        <v>159</v>
      </c>
      <c r="B76" s="30">
        <v>45572.333333333299</v>
      </c>
      <c r="C76" s="30">
        <v>45586.708333333299</v>
      </c>
      <c r="D76" s="30">
        <v>45572.333333333299</v>
      </c>
      <c r="E76" s="30">
        <v>45586.708333333299</v>
      </c>
      <c r="F76" s="21" t="s">
        <v>160</v>
      </c>
      <c r="G76" s="25">
        <v>1</v>
      </c>
      <c r="H76" s="14">
        <v>135</v>
      </c>
      <c r="I76" s="18"/>
      <c r="J76" s="27">
        <v>1</v>
      </c>
      <c r="K76" s="29">
        <f t="shared" si="19"/>
        <v>14.375</v>
      </c>
      <c r="L76" s="29">
        <f t="shared" si="20"/>
        <v>14.375</v>
      </c>
      <c r="M76" s="19">
        <f t="shared" si="11"/>
        <v>15525</v>
      </c>
      <c r="N76" s="18">
        <f t="shared" si="12"/>
        <v>15525</v>
      </c>
      <c r="O76" s="18">
        <f ca="1">IF(Table2[[#This Row],[BL Project Start]]&gt;$B$2, 0,M76)</f>
        <v>15525</v>
      </c>
      <c r="P76" s="18">
        <f t="shared" si="13"/>
        <v>15525</v>
      </c>
      <c r="Q76" s="14">
        <f t="shared" si="14"/>
        <v>1</v>
      </c>
      <c r="R76" s="28">
        <f t="shared" ca="1" si="15"/>
        <v>1</v>
      </c>
      <c r="S76" s="23">
        <f t="shared" si="16"/>
        <v>0</v>
      </c>
      <c r="T76" s="23">
        <f t="shared" ca="1" si="17"/>
        <v>0</v>
      </c>
      <c r="U76" s="23">
        <f t="shared" si="18"/>
        <v>15525</v>
      </c>
      <c r="V76" s="33">
        <f t="shared" si="21"/>
        <v>45596</v>
      </c>
    </row>
    <row r="77" spans="1:22" ht="14.5" x14ac:dyDescent="0.35">
      <c r="A77" s="32" t="s">
        <v>162</v>
      </c>
      <c r="B77" s="30">
        <v>45587.333333333299</v>
      </c>
      <c r="C77" s="30">
        <v>45608.708333333299</v>
      </c>
      <c r="D77" s="30">
        <v>45587.333333333299</v>
      </c>
      <c r="E77" s="30">
        <v>45608.708333333299</v>
      </c>
      <c r="F77" s="21" t="s">
        <v>160</v>
      </c>
      <c r="G77" s="25">
        <v>1</v>
      </c>
      <c r="H77" s="14">
        <v>135</v>
      </c>
      <c r="I77" s="18"/>
      <c r="J77" s="27">
        <v>1</v>
      </c>
      <c r="K77" s="29">
        <f t="shared" si="19"/>
        <v>21.375</v>
      </c>
      <c r="L77" s="29">
        <f t="shared" si="20"/>
        <v>21.375</v>
      </c>
      <c r="M77" s="19">
        <f t="shared" si="11"/>
        <v>23085</v>
      </c>
      <c r="N77" s="18">
        <f t="shared" si="12"/>
        <v>23085</v>
      </c>
      <c r="O77" s="18">
        <f ca="1">IF(Table2[[#This Row],[BL Project Start]]&gt;$B$2, 0,M77)</f>
        <v>23085</v>
      </c>
      <c r="P77" s="18">
        <f t="shared" si="13"/>
        <v>23085</v>
      </c>
      <c r="Q77" s="14">
        <f t="shared" si="14"/>
        <v>1</v>
      </c>
      <c r="R77" s="28">
        <f t="shared" ca="1" si="15"/>
        <v>1</v>
      </c>
      <c r="S77" s="23">
        <f t="shared" si="16"/>
        <v>0</v>
      </c>
      <c r="T77" s="23">
        <f t="shared" ca="1" si="17"/>
        <v>0</v>
      </c>
      <c r="U77" s="23">
        <f t="shared" si="18"/>
        <v>23085</v>
      </c>
      <c r="V77" s="33">
        <f t="shared" si="21"/>
        <v>45626</v>
      </c>
    </row>
    <row r="78" spans="1:22" ht="14.5" x14ac:dyDescent="0.35">
      <c r="A78" s="32" t="s">
        <v>164</v>
      </c>
      <c r="B78" s="30">
        <v>45609.333333333299</v>
      </c>
      <c r="C78" s="30">
        <v>45637.708333333299</v>
      </c>
      <c r="D78" s="30">
        <v>45609.333333333299</v>
      </c>
      <c r="E78" s="30">
        <v>45637.708333333299</v>
      </c>
      <c r="F78" s="21" t="s">
        <v>160</v>
      </c>
      <c r="G78" s="25">
        <v>1</v>
      </c>
      <c r="H78" s="14">
        <v>135</v>
      </c>
      <c r="I78" s="18"/>
      <c r="J78" s="27">
        <v>1</v>
      </c>
      <c r="K78" s="29">
        <f t="shared" si="19"/>
        <v>28.375</v>
      </c>
      <c r="L78" s="29">
        <f t="shared" si="20"/>
        <v>28.375</v>
      </c>
      <c r="M78" s="19">
        <f t="shared" si="11"/>
        <v>30645</v>
      </c>
      <c r="N78" s="18">
        <f t="shared" si="12"/>
        <v>30645</v>
      </c>
      <c r="O78" s="18">
        <f ca="1">IF(Table2[[#This Row],[BL Project Start]]&gt;$B$2, 0,M78)</f>
        <v>30645</v>
      </c>
      <c r="P78" s="18">
        <f t="shared" si="13"/>
        <v>30645</v>
      </c>
      <c r="Q78" s="14">
        <f t="shared" si="14"/>
        <v>1</v>
      </c>
      <c r="R78" s="28">
        <f t="shared" ca="1" si="15"/>
        <v>1</v>
      </c>
      <c r="S78" s="23">
        <f t="shared" si="16"/>
        <v>0</v>
      </c>
      <c r="T78" s="23">
        <f t="shared" ca="1" si="17"/>
        <v>0</v>
      </c>
      <c r="U78" s="23">
        <f t="shared" si="18"/>
        <v>30645</v>
      </c>
      <c r="V78" s="33">
        <f t="shared" si="21"/>
        <v>45657</v>
      </c>
    </row>
    <row r="79" spans="1:22" ht="14.5" x14ac:dyDescent="0.35">
      <c r="A79" s="32" t="s">
        <v>166</v>
      </c>
      <c r="B79" s="30">
        <v>45609.333333333299</v>
      </c>
      <c r="C79" s="30">
        <v>45631.708333333299</v>
      </c>
      <c r="D79" s="30">
        <v>45609.333333333299</v>
      </c>
      <c r="E79" s="30">
        <v>45631.708333333299</v>
      </c>
      <c r="F79" s="21" t="s">
        <v>160</v>
      </c>
      <c r="G79" s="25">
        <v>1</v>
      </c>
      <c r="H79" s="14">
        <v>135</v>
      </c>
      <c r="I79" s="18"/>
      <c r="J79" s="27">
        <v>1</v>
      </c>
      <c r="K79" s="29">
        <f t="shared" si="19"/>
        <v>22.375</v>
      </c>
      <c r="L79" s="29">
        <f t="shared" si="20"/>
        <v>22.375</v>
      </c>
      <c r="M79" s="19">
        <f t="shared" si="11"/>
        <v>24165</v>
      </c>
      <c r="N79" s="18">
        <f t="shared" si="12"/>
        <v>24165</v>
      </c>
      <c r="O79" s="18">
        <f ca="1">IF(Table2[[#This Row],[BL Project Start]]&gt;$B$2, 0,M79)</f>
        <v>24165</v>
      </c>
      <c r="P79" s="18">
        <f t="shared" si="13"/>
        <v>24165</v>
      </c>
      <c r="Q79" s="14">
        <f t="shared" si="14"/>
        <v>1</v>
      </c>
      <c r="R79" s="28">
        <f t="shared" ca="1" si="15"/>
        <v>1</v>
      </c>
      <c r="S79" s="23">
        <f t="shared" si="16"/>
        <v>0</v>
      </c>
      <c r="T79" s="23">
        <f t="shared" ca="1" si="17"/>
        <v>0</v>
      </c>
      <c r="U79" s="23">
        <f t="shared" si="18"/>
        <v>24165</v>
      </c>
      <c r="V79" s="33">
        <f t="shared" si="21"/>
        <v>45657</v>
      </c>
    </row>
    <row r="80" spans="1:22" ht="14.5" x14ac:dyDescent="0.35">
      <c r="A80" s="32" t="s">
        <v>168</v>
      </c>
      <c r="B80" s="30">
        <v>45587.333333333299</v>
      </c>
      <c r="C80" s="30">
        <v>45604.708333333299</v>
      </c>
      <c r="D80" s="30">
        <v>45587.333333333299</v>
      </c>
      <c r="E80" s="30">
        <v>45604.708333333299</v>
      </c>
      <c r="F80" s="21" t="s">
        <v>160</v>
      </c>
      <c r="G80" s="25">
        <v>1</v>
      </c>
      <c r="H80" s="14">
        <v>135</v>
      </c>
      <c r="I80" s="18"/>
      <c r="J80" s="27">
        <v>1</v>
      </c>
      <c r="K80" s="29">
        <f t="shared" si="19"/>
        <v>17.375</v>
      </c>
      <c r="L80" s="29">
        <f t="shared" si="20"/>
        <v>17.375</v>
      </c>
      <c r="M80" s="19">
        <f t="shared" si="11"/>
        <v>18765</v>
      </c>
      <c r="N80" s="18">
        <f t="shared" si="12"/>
        <v>18765</v>
      </c>
      <c r="O80" s="18">
        <f ca="1">IF(Table2[[#This Row],[BL Project Start]]&gt;$B$2, 0,M80)</f>
        <v>18765</v>
      </c>
      <c r="P80" s="18">
        <f t="shared" si="13"/>
        <v>18765</v>
      </c>
      <c r="Q80" s="14">
        <f t="shared" si="14"/>
        <v>1</v>
      </c>
      <c r="R80" s="28">
        <f t="shared" ca="1" si="15"/>
        <v>1</v>
      </c>
      <c r="S80" s="23">
        <f t="shared" si="16"/>
        <v>0</v>
      </c>
      <c r="T80" s="23">
        <f t="shared" ca="1" si="17"/>
        <v>0</v>
      </c>
      <c r="U80" s="23">
        <f t="shared" si="18"/>
        <v>18765</v>
      </c>
      <c r="V80" s="33">
        <f t="shared" si="21"/>
        <v>45626</v>
      </c>
    </row>
    <row r="81" spans="1:22" ht="14.5" x14ac:dyDescent="0.35">
      <c r="A81" s="32" t="s">
        <v>170</v>
      </c>
      <c r="B81" s="30">
        <v>45632.333333333299</v>
      </c>
      <c r="C81" s="30">
        <v>45663.708333333299</v>
      </c>
      <c r="D81" s="30">
        <v>45632.333333333299</v>
      </c>
      <c r="E81" s="30">
        <v>45663.708333333299</v>
      </c>
      <c r="F81" s="21" t="s">
        <v>160</v>
      </c>
      <c r="G81" s="25">
        <v>1</v>
      </c>
      <c r="H81" s="14">
        <v>135</v>
      </c>
      <c r="I81" s="18"/>
      <c r="J81" s="27">
        <v>1</v>
      </c>
      <c r="K81" s="29">
        <f t="shared" si="19"/>
        <v>31.375</v>
      </c>
      <c r="L81" s="29">
        <f t="shared" si="20"/>
        <v>31.375</v>
      </c>
      <c r="M81" s="19">
        <f t="shared" si="11"/>
        <v>33885</v>
      </c>
      <c r="N81" s="18">
        <f t="shared" si="12"/>
        <v>33885</v>
      </c>
      <c r="O81" s="18">
        <f ca="1">IF(Table2[[#This Row],[BL Project Start]]&gt;$B$2, 0,M81)</f>
        <v>33885</v>
      </c>
      <c r="P81" s="18">
        <f t="shared" si="13"/>
        <v>33885</v>
      </c>
      <c r="Q81" s="14">
        <f t="shared" si="14"/>
        <v>1</v>
      </c>
      <c r="R81" s="28">
        <f t="shared" ca="1" si="15"/>
        <v>1</v>
      </c>
      <c r="S81" s="23">
        <f t="shared" si="16"/>
        <v>0</v>
      </c>
      <c r="T81" s="23">
        <f t="shared" ca="1" si="17"/>
        <v>0</v>
      </c>
      <c r="U81" s="23">
        <f t="shared" si="18"/>
        <v>33885</v>
      </c>
      <c r="V81" s="33">
        <f t="shared" si="21"/>
        <v>45688</v>
      </c>
    </row>
    <row r="82" spans="1:22" ht="14.5" x14ac:dyDescent="0.35">
      <c r="A82" s="32" t="s">
        <v>172</v>
      </c>
      <c r="B82" s="30">
        <v>45664.333333333299</v>
      </c>
      <c r="C82" s="30">
        <v>45687.708333333299</v>
      </c>
      <c r="D82" s="30">
        <v>45664.333333333299</v>
      </c>
      <c r="E82" s="30">
        <v>45687.708333333299</v>
      </c>
      <c r="F82" s="21" t="s">
        <v>160</v>
      </c>
      <c r="G82" s="25">
        <v>1</v>
      </c>
      <c r="H82" s="14">
        <v>135</v>
      </c>
      <c r="I82" s="18"/>
      <c r="J82" s="27">
        <v>1</v>
      </c>
      <c r="K82" s="29">
        <f t="shared" si="19"/>
        <v>23.375</v>
      </c>
      <c r="L82" s="29">
        <f t="shared" si="20"/>
        <v>23.375</v>
      </c>
      <c r="M82" s="19">
        <f t="shared" si="11"/>
        <v>25245</v>
      </c>
      <c r="N82" s="18">
        <f t="shared" si="12"/>
        <v>25245</v>
      </c>
      <c r="O82" s="18">
        <f ca="1">IF(Table2[[#This Row],[BL Project Start]]&gt;$B$2, 0,M82)</f>
        <v>25245</v>
      </c>
      <c r="P82" s="18">
        <f t="shared" si="13"/>
        <v>25245</v>
      </c>
      <c r="Q82" s="14">
        <f t="shared" si="14"/>
        <v>1</v>
      </c>
      <c r="R82" s="28">
        <f t="shared" ca="1" si="15"/>
        <v>1</v>
      </c>
      <c r="S82" s="23">
        <f t="shared" si="16"/>
        <v>0</v>
      </c>
      <c r="T82" s="23">
        <f t="shared" ca="1" si="17"/>
        <v>0</v>
      </c>
      <c r="U82" s="23">
        <f t="shared" si="18"/>
        <v>25245</v>
      </c>
      <c r="V82" s="33">
        <f t="shared" si="21"/>
        <v>45688</v>
      </c>
    </row>
    <row r="83" spans="1:22" ht="14.5" x14ac:dyDescent="0.35">
      <c r="A83" s="32" t="s">
        <v>174</v>
      </c>
      <c r="B83" s="30" t="s">
        <v>5</v>
      </c>
      <c r="C83" s="30">
        <v>45688.708333333299</v>
      </c>
      <c r="D83" s="30" t="s">
        <v>5</v>
      </c>
      <c r="E83" s="30">
        <v>45688.708333333299</v>
      </c>
      <c r="F83" s="21" t="s">
        <v>5</v>
      </c>
      <c r="G83" s="25">
        <v>1</v>
      </c>
      <c r="H83" s="14" t="s">
        <v>5</v>
      </c>
      <c r="I83" s="18"/>
      <c r="J83" s="27">
        <v>1</v>
      </c>
      <c r="K83" s="29">
        <f t="shared" si="19"/>
        <v>0</v>
      </c>
      <c r="L83" s="29">
        <f t="shared" si="20"/>
        <v>0</v>
      </c>
      <c r="M83" s="19">
        <f t="shared" si="11"/>
        <v>0</v>
      </c>
      <c r="N83" s="18">
        <f t="shared" si="12"/>
        <v>0</v>
      </c>
      <c r="O83" s="18">
        <f ca="1">IF(Table2[[#This Row],[BL Project Start]]&gt;$B$2, 0,M83)</f>
        <v>0</v>
      </c>
      <c r="P83" s="18">
        <f t="shared" si="13"/>
        <v>0</v>
      </c>
      <c r="Q83" s="14" t="str">
        <f t="shared" si="14"/>
        <v/>
      </c>
      <c r="R83" s="28" t="str">
        <f t="shared" ca="1" si="15"/>
        <v/>
      </c>
      <c r="S83" s="23">
        <f t="shared" si="16"/>
        <v>0</v>
      </c>
      <c r="T83" s="23">
        <f t="shared" ca="1" si="17"/>
        <v>0</v>
      </c>
      <c r="U83" s="23">
        <f t="shared" si="18"/>
        <v>0</v>
      </c>
      <c r="V83" s="33">
        <f t="shared" si="21"/>
        <v>45688</v>
      </c>
    </row>
    <row r="84" spans="1:22" ht="14.5" x14ac:dyDescent="0.35">
      <c r="A84" s="32" t="s">
        <v>176</v>
      </c>
      <c r="B84" s="30">
        <v>45560.333333333299</v>
      </c>
      <c r="C84" s="30">
        <v>45572.708333333299</v>
      </c>
      <c r="D84" s="30">
        <v>45560.333333333299</v>
      </c>
      <c r="E84" s="30">
        <v>45572.708333333299</v>
      </c>
      <c r="F84" s="21" t="s">
        <v>177</v>
      </c>
      <c r="G84" s="25">
        <v>1</v>
      </c>
      <c r="H84" s="14">
        <v>115</v>
      </c>
      <c r="I84" s="18"/>
      <c r="J84" s="27">
        <v>1</v>
      </c>
      <c r="K84" s="29">
        <f t="shared" si="19"/>
        <v>12.375</v>
      </c>
      <c r="L84" s="29">
        <f t="shared" si="20"/>
        <v>12.375</v>
      </c>
      <c r="M84" s="19">
        <f t="shared" si="11"/>
        <v>11385</v>
      </c>
      <c r="N84" s="18">
        <f t="shared" si="12"/>
        <v>11385</v>
      </c>
      <c r="O84" s="18">
        <f ca="1">IF(Table2[[#This Row],[BL Project Start]]&gt;$B$2, 0,M84)</f>
        <v>11385</v>
      </c>
      <c r="P84" s="18">
        <f t="shared" si="13"/>
        <v>11385</v>
      </c>
      <c r="Q84" s="14">
        <f t="shared" si="14"/>
        <v>1</v>
      </c>
      <c r="R84" s="28">
        <f t="shared" ca="1" si="15"/>
        <v>1</v>
      </c>
      <c r="S84" s="23">
        <f t="shared" si="16"/>
        <v>0</v>
      </c>
      <c r="T84" s="23">
        <f t="shared" ca="1" si="17"/>
        <v>0</v>
      </c>
      <c r="U84" s="23">
        <f t="shared" si="18"/>
        <v>11385</v>
      </c>
      <c r="V84" s="33">
        <f t="shared" si="21"/>
        <v>45596</v>
      </c>
    </row>
    <row r="85" spans="1:22" ht="14.5" x14ac:dyDescent="0.35">
      <c r="A85" s="32" t="s">
        <v>179</v>
      </c>
      <c r="B85" s="30">
        <v>45688.333333333299</v>
      </c>
      <c r="C85" s="30">
        <v>45707.708333333299</v>
      </c>
      <c r="D85" s="30">
        <v>45688.333333333299</v>
      </c>
      <c r="E85" s="30">
        <v>45707.708333333299</v>
      </c>
      <c r="F85" s="21" t="s">
        <v>177</v>
      </c>
      <c r="G85" s="25">
        <v>1</v>
      </c>
      <c r="H85" s="14">
        <v>115</v>
      </c>
      <c r="I85" s="18"/>
      <c r="J85" s="27">
        <v>1</v>
      </c>
      <c r="K85" s="29">
        <f t="shared" si="19"/>
        <v>19.375</v>
      </c>
      <c r="L85" s="29">
        <f t="shared" si="20"/>
        <v>19.375</v>
      </c>
      <c r="M85" s="19">
        <f t="shared" si="11"/>
        <v>17825</v>
      </c>
      <c r="N85" s="18">
        <f t="shared" si="12"/>
        <v>17825</v>
      </c>
      <c r="O85" s="18">
        <f ca="1">IF(Table2[[#This Row],[BL Project Start]]&gt;$B$2, 0,M85)</f>
        <v>17825</v>
      </c>
      <c r="P85" s="18">
        <f t="shared" si="13"/>
        <v>17825</v>
      </c>
      <c r="Q85" s="14">
        <f t="shared" si="14"/>
        <v>1</v>
      </c>
      <c r="R85" s="28">
        <f t="shared" ca="1" si="15"/>
        <v>1</v>
      </c>
      <c r="S85" s="23">
        <f t="shared" si="16"/>
        <v>0</v>
      </c>
      <c r="T85" s="23">
        <f t="shared" ca="1" si="17"/>
        <v>0</v>
      </c>
      <c r="U85" s="23">
        <f t="shared" si="18"/>
        <v>17825</v>
      </c>
      <c r="V85" s="33">
        <f t="shared" si="21"/>
        <v>45716</v>
      </c>
    </row>
    <row r="86" spans="1:22" ht="14.5" x14ac:dyDescent="0.35">
      <c r="A86" s="32" t="s">
        <v>181</v>
      </c>
      <c r="B86" s="30">
        <v>45609.333333333299</v>
      </c>
      <c r="C86" s="30">
        <v>45630.708333333299</v>
      </c>
      <c r="D86" s="30">
        <v>45609.333333333299</v>
      </c>
      <c r="E86" s="30">
        <v>45630.708333333299</v>
      </c>
      <c r="F86" s="21" t="s">
        <v>182</v>
      </c>
      <c r="G86" s="25">
        <v>1</v>
      </c>
      <c r="H86" s="14">
        <v>105</v>
      </c>
      <c r="I86" s="18"/>
      <c r="J86" s="27">
        <v>1</v>
      </c>
      <c r="K86" s="29">
        <f t="shared" si="19"/>
        <v>21.375</v>
      </c>
      <c r="L86" s="29">
        <f t="shared" si="20"/>
        <v>21.375</v>
      </c>
      <c r="M86" s="19">
        <f t="shared" si="11"/>
        <v>17955</v>
      </c>
      <c r="N86" s="18">
        <f t="shared" si="12"/>
        <v>17955</v>
      </c>
      <c r="O86" s="18">
        <f ca="1">IF(Table2[[#This Row],[BL Project Start]]&gt;$B$2, 0,M86)</f>
        <v>17955</v>
      </c>
      <c r="P86" s="18">
        <f t="shared" si="13"/>
        <v>17955</v>
      </c>
      <c r="Q86" s="14">
        <f t="shared" si="14"/>
        <v>1</v>
      </c>
      <c r="R86" s="28">
        <f t="shared" ca="1" si="15"/>
        <v>1</v>
      </c>
      <c r="S86" s="23">
        <f t="shared" si="16"/>
        <v>0</v>
      </c>
      <c r="T86" s="23">
        <f t="shared" ca="1" si="17"/>
        <v>0</v>
      </c>
      <c r="U86" s="23">
        <f t="shared" si="18"/>
        <v>17955</v>
      </c>
      <c r="V86" s="33">
        <f t="shared" si="21"/>
        <v>45657</v>
      </c>
    </row>
    <row r="87" spans="1:22" ht="14.5" x14ac:dyDescent="0.35">
      <c r="A87" s="32" t="s">
        <v>184</v>
      </c>
      <c r="B87" s="30">
        <v>45638.333333333299</v>
      </c>
      <c r="C87" s="30">
        <v>45698.708333333299</v>
      </c>
      <c r="D87" s="30">
        <v>45638.333333333299</v>
      </c>
      <c r="E87" s="30">
        <v>45698.708333333299</v>
      </c>
      <c r="F87" s="21" t="s">
        <v>185</v>
      </c>
      <c r="G87" s="25">
        <v>1</v>
      </c>
      <c r="H87" s="14">
        <v>95</v>
      </c>
      <c r="I87" s="18"/>
      <c r="J87" s="27">
        <v>1</v>
      </c>
      <c r="K87" s="29">
        <f t="shared" si="19"/>
        <v>60.375</v>
      </c>
      <c r="L87" s="29">
        <f t="shared" si="20"/>
        <v>60.375</v>
      </c>
      <c r="M87" s="19">
        <f t="shared" si="11"/>
        <v>45885</v>
      </c>
      <c r="N87" s="18">
        <f t="shared" si="12"/>
        <v>45885</v>
      </c>
      <c r="O87" s="18">
        <f ca="1">IF(Table2[[#This Row],[BL Project Start]]&gt;$B$2, 0,M87)</f>
        <v>45885</v>
      </c>
      <c r="P87" s="18">
        <f t="shared" si="13"/>
        <v>45885</v>
      </c>
      <c r="Q87" s="14">
        <f t="shared" si="14"/>
        <v>1</v>
      </c>
      <c r="R87" s="28">
        <f t="shared" ca="1" si="15"/>
        <v>1</v>
      </c>
      <c r="S87" s="23">
        <f t="shared" si="16"/>
        <v>0</v>
      </c>
      <c r="T87" s="23">
        <f t="shared" ca="1" si="17"/>
        <v>0</v>
      </c>
      <c r="U87" s="23">
        <f t="shared" si="18"/>
        <v>45885</v>
      </c>
      <c r="V87" s="33">
        <f t="shared" si="21"/>
        <v>45716</v>
      </c>
    </row>
    <row r="88" spans="1:22" ht="14.5" x14ac:dyDescent="0.35">
      <c r="A88" s="32" t="s">
        <v>187</v>
      </c>
      <c r="B88" s="30">
        <v>45638.333333333299</v>
      </c>
      <c r="C88" s="30">
        <v>45708.708333333299</v>
      </c>
      <c r="D88" s="30">
        <v>45638.333333333299</v>
      </c>
      <c r="E88" s="30">
        <v>45708.708333333299</v>
      </c>
      <c r="F88" s="21" t="s">
        <v>177</v>
      </c>
      <c r="G88" s="25">
        <v>1</v>
      </c>
      <c r="H88" s="14">
        <v>115</v>
      </c>
      <c r="I88" s="18"/>
      <c r="J88" s="27">
        <v>1</v>
      </c>
      <c r="K88" s="29">
        <f t="shared" si="19"/>
        <v>70.375</v>
      </c>
      <c r="L88" s="29">
        <f t="shared" si="20"/>
        <v>70.375</v>
      </c>
      <c r="M88" s="19">
        <f t="shared" si="11"/>
        <v>64745</v>
      </c>
      <c r="N88" s="18">
        <f t="shared" si="12"/>
        <v>64745</v>
      </c>
      <c r="O88" s="18">
        <f ca="1">IF(Table2[[#This Row],[BL Project Start]]&gt;$B$2, 0,M88)</f>
        <v>64745</v>
      </c>
      <c r="P88" s="18">
        <f t="shared" si="13"/>
        <v>64745</v>
      </c>
      <c r="Q88" s="14">
        <f t="shared" si="14"/>
        <v>1</v>
      </c>
      <c r="R88" s="28">
        <f t="shared" ca="1" si="15"/>
        <v>1</v>
      </c>
      <c r="S88" s="23">
        <f t="shared" si="16"/>
        <v>0</v>
      </c>
      <c r="T88" s="23">
        <f t="shared" ca="1" si="17"/>
        <v>0</v>
      </c>
      <c r="U88" s="23">
        <f t="shared" si="18"/>
        <v>64745</v>
      </c>
      <c r="V88" s="33">
        <f t="shared" si="21"/>
        <v>45716</v>
      </c>
    </row>
    <row r="89" spans="1:22" ht="14.5" x14ac:dyDescent="0.35">
      <c r="A89" s="32" t="s">
        <v>189</v>
      </c>
      <c r="B89" s="30">
        <v>45709.333333333299</v>
      </c>
      <c r="C89" s="30">
        <v>45712.708333333299</v>
      </c>
      <c r="D89" s="30">
        <v>45709.333333333299</v>
      </c>
      <c r="E89" s="30">
        <v>45712.708333333299</v>
      </c>
      <c r="F89" s="21" t="s">
        <v>185</v>
      </c>
      <c r="G89" s="25">
        <v>1</v>
      </c>
      <c r="H89" s="14">
        <v>95</v>
      </c>
      <c r="I89" s="18"/>
      <c r="J89" s="27">
        <v>1</v>
      </c>
      <c r="K89" s="29">
        <f t="shared" si="19"/>
        <v>3.375</v>
      </c>
      <c r="L89" s="29">
        <f t="shared" si="20"/>
        <v>3.375</v>
      </c>
      <c r="M89" s="19">
        <f t="shared" si="11"/>
        <v>2565</v>
      </c>
      <c r="N89" s="18">
        <f t="shared" si="12"/>
        <v>2565</v>
      </c>
      <c r="O89" s="18">
        <f ca="1">IF(Table2[[#This Row],[BL Project Start]]&gt;$B$2, 0,M89)</f>
        <v>2565</v>
      </c>
      <c r="P89" s="18">
        <f t="shared" si="13"/>
        <v>2565</v>
      </c>
      <c r="Q89" s="14">
        <f t="shared" si="14"/>
        <v>1</v>
      </c>
      <c r="R89" s="28">
        <f t="shared" ca="1" si="15"/>
        <v>1</v>
      </c>
      <c r="S89" s="23">
        <f t="shared" si="16"/>
        <v>0</v>
      </c>
      <c r="T89" s="23">
        <f t="shared" ca="1" si="17"/>
        <v>0</v>
      </c>
      <c r="U89" s="23">
        <f t="shared" si="18"/>
        <v>2565</v>
      </c>
      <c r="V89" s="33">
        <f t="shared" si="21"/>
        <v>45716</v>
      </c>
    </row>
    <row r="90" spans="1:22" ht="14.5" x14ac:dyDescent="0.35">
      <c r="A90" s="32" t="s">
        <v>191</v>
      </c>
      <c r="B90" s="30">
        <v>45708.333333333299</v>
      </c>
      <c r="C90" s="30">
        <v>45709.708333333299</v>
      </c>
      <c r="D90" s="30">
        <v>45708.333333333299</v>
      </c>
      <c r="E90" s="30">
        <v>45709.708333333299</v>
      </c>
      <c r="F90" s="21" t="s">
        <v>5</v>
      </c>
      <c r="G90" s="25">
        <v>1</v>
      </c>
      <c r="H90" s="14" t="s">
        <v>5</v>
      </c>
      <c r="I90" s="18"/>
      <c r="J90" s="27">
        <v>1</v>
      </c>
      <c r="K90" s="29">
        <f t="shared" si="19"/>
        <v>1.375</v>
      </c>
      <c r="L90" s="29">
        <f t="shared" si="20"/>
        <v>1.375</v>
      </c>
      <c r="M90" s="19">
        <f t="shared" si="11"/>
        <v>0</v>
      </c>
      <c r="N90" s="18">
        <f t="shared" si="12"/>
        <v>0</v>
      </c>
      <c r="O90" s="18">
        <f ca="1">IF(Table2[[#This Row],[BL Project Start]]&gt;$B$2, 0,M90)</f>
        <v>0</v>
      </c>
      <c r="P90" s="18">
        <f t="shared" si="13"/>
        <v>0</v>
      </c>
      <c r="Q90" s="14" t="str">
        <f t="shared" si="14"/>
        <v/>
      </c>
      <c r="R90" s="28" t="str">
        <f t="shared" ca="1" si="15"/>
        <v/>
      </c>
      <c r="S90" s="23">
        <f t="shared" si="16"/>
        <v>0</v>
      </c>
      <c r="T90" s="23">
        <f t="shared" ca="1" si="17"/>
        <v>0</v>
      </c>
      <c r="U90" s="23">
        <f t="shared" si="18"/>
        <v>0</v>
      </c>
      <c r="V90" s="33">
        <f t="shared" si="21"/>
        <v>45716</v>
      </c>
    </row>
    <row r="91" spans="1:22" ht="14.5" x14ac:dyDescent="0.35">
      <c r="A91" s="32" t="s">
        <v>659</v>
      </c>
      <c r="B91" s="30">
        <v>45687.333333333299</v>
      </c>
      <c r="C91" s="30">
        <v>45701.708333333299</v>
      </c>
      <c r="D91" s="30">
        <v>45687.333333333299</v>
      </c>
      <c r="E91" s="30">
        <v>45701.708333333299</v>
      </c>
      <c r="F91" s="21" t="s">
        <v>194</v>
      </c>
      <c r="G91" s="25">
        <v>1</v>
      </c>
      <c r="H91" s="14">
        <v>120</v>
      </c>
      <c r="I91" s="18"/>
      <c r="J91" s="27">
        <v>1</v>
      </c>
      <c r="K91" s="29">
        <f t="shared" si="19"/>
        <v>14.375</v>
      </c>
      <c r="L91" s="29">
        <f t="shared" si="20"/>
        <v>14.375</v>
      </c>
      <c r="M91" s="19">
        <f t="shared" si="11"/>
        <v>13800</v>
      </c>
      <c r="N91" s="18">
        <f t="shared" si="12"/>
        <v>13800</v>
      </c>
      <c r="O91" s="18">
        <f ca="1">IF(Table2[[#This Row],[BL Project Start]]&gt;$B$2, 0,M91)</f>
        <v>13800</v>
      </c>
      <c r="P91" s="18">
        <f t="shared" si="13"/>
        <v>13800</v>
      </c>
      <c r="Q91" s="14">
        <f t="shared" si="14"/>
        <v>1</v>
      </c>
      <c r="R91" s="28">
        <f t="shared" ca="1" si="15"/>
        <v>1</v>
      </c>
      <c r="S91" s="23">
        <f t="shared" si="16"/>
        <v>0</v>
      </c>
      <c r="T91" s="23">
        <f t="shared" ca="1" si="17"/>
        <v>0</v>
      </c>
      <c r="U91" s="23">
        <f t="shared" si="18"/>
        <v>13800</v>
      </c>
      <c r="V91" s="33">
        <f t="shared" si="21"/>
        <v>45716</v>
      </c>
    </row>
    <row r="92" spans="1:22" ht="14.5" x14ac:dyDescent="0.35">
      <c r="A92" s="32" t="s">
        <v>660</v>
      </c>
      <c r="B92" s="30">
        <v>45702.333333333299</v>
      </c>
      <c r="C92" s="30">
        <v>45709.708333333299</v>
      </c>
      <c r="D92" s="30">
        <v>45702.333333333299</v>
      </c>
      <c r="E92" s="30">
        <v>45709.708333333299</v>
      </c>
      <c r="F92" s="21" t="s">
        <v>83</v>
      </c>
      <c r="G92" s="25">
        <v>1</v>
      </c>
      <c r="H92" s="14">
        <v>135</v>
      </c>
      <c r="I92" s="18"/>
      <c r="J92" s="27">
        <v>1</v>
      </c>
      <c r="K92" s="29">
        <f t="shared" si="19"/>
        <v>7.375</v>
      </c>
      <c r="L92" s="29">
        <f t="shared" si="20"/>
        <v>7.375</v>
      </c>
      <c r="M92" s="19">
        <f t="shared" si="11"/>
        <v>7965</v>
      </c>
      <c r="N92" s="18">
        <f t="shared" si="12"/>
        <v>7965</v>
      </c>
      <c r="O92" s="18">
        <f ca="1">IF(Table2[[#This Row],[BL Project Start]]&gt;$B$2, 0,M92)</f>
        <v>7965</v>
      </c>
      <c r="P92" s="18">
        <f t="shared" si="13"/>
        <v>7965</v>
      </c>
      <c r="Q92" s="14">
        <f t="shared" si="14"/>
        <v>1</v>
      </c>
      <c r="R92" s="28">
        <f t="shared" ca="1" si="15"/>
        <v>1</v>
      </c>
      <c r="S92" s="23">
        <f t="shared" si="16"/>
        <v>0</v>
      </c>
      <c r="T92" s="23">
        <f t="shared" ca="1" si="17"/>
        <v>0</v>
      </c>
      <c r="U92" s="23">
        <f t="shared" si="18"/>
        <v>7965</v>
      </c>
      <c r="V92" s="33">
        <f t="shared" si="21"/>
        <v>45716</v>
      </c>
    </row>
    <row r="93" spans="1:22" ht="14.5" x14ac:dyDescent="0.35">
      <c r="A93" s="32" t="s">
        <v>661</v>
      </c>
      <c r="B93" s="30">
        <v>45712.333333333299</v>
      </c>
      <c r="C93" s="30">
        <v>45722.708333333299</v>
      </c>
      <c r="D93" s="30">
        <v>45712.333333333299</v>
      </c>
      <c r="E93" s="30" t="s">
        <v>5</v>
      </c>
      <c r="F93" s="21" t="s">
        <v>83</v>
      </c>
      <c r="G93" s="25">
        <v>0.88890000000000002</v>
      </c>
      <c r="H93" s="14">
        <v>135</v>
      </c>
      <c r="I93" s="18"/>
      <c r="J93" s="27">
        <v>1</v>
      </c>
      <c r="K93" s="29">
        <f t="shared" si="19"/>
        <v>10.375</v>
      </c>
      <c r="L93" s="29">
        <f t="shared" si="20"/>
        <v>0</v>
      </c>
      <c r="M93" s="19">
        <f t="shared" si="11"/>
        <v>11205</v>
      </c>
      <c r="N93" s="18">
        <f t="shared" si="12"/>
        <v>0</v>
      </c>
      <c r="O93" s="18">
        <f ca="1">IF(Table2[[#This Row],[BL Project Start]]&gt;$B$2, 0,M93)</f>
        <v>11205</v>
      </c>
      <c r="P93" s="18">
        <f t="shared" si="13"/>
        <v>9960.1244999999999</v>
      </c>
      <c r="Q93" s="14" t="str">
        <f t="shared" si="14"/>
        <v/>
      </c>
      <c r="R93" s="28">
        <f t="shared" ca="1" si="15"/>
        <v>0.88890000000000002</v>
      </c>
      <c r="S93" s="23">
        <f t="shared" si="16"/>
        <v>9960.1244999999999</v>
      </c>
      <c r="T93" s="23">
        <f t="shared" ca="1" si="17"/>
        <v>-1244.8755000000001</v>
      </c>
      <c r="U93" s="23">
        <f t="shared" si="18"/>
        <v>1244.8755000000001</v>
      </c>
      <c r="V93" s="33">
        <f t="shared" si="21"/>
        <v>45747</v>
      </c>
    </row>
    <row r="94" spans="1:22" ht="14.5" x14ac:dyDescent="0.35">
      <c r="A94" s="32" t="s">
        <v>200</v>
      </c>
      <c r="B94" s="30">
        <v>45723.333333333299</v>
      </c>
      <c r="C94" s="30" t="s">
        <v>5</v>
      </c>
      <c r="D94" s="30">
        <v>45723.333333333299</v>
      </c>
      <c r="E94" s="30" t="s">
        <v>5</v>
      </c>
      <c r="F94" s="21" t="s">
        <v>5</v>
      </c>
      <c r="G94" s="25">
        <v>1</v>
      </c>
      <c r="H94" s="14" t="s">
        <v>5</v>
      </c>
      <c r="I94" s="18"/>
      <c r="J94" s="27">
        <v>1</v>
      </c>
      <c r="K94" s="29">
        <f t="shared" si="19"/>
        <v>0</v>
      </c>
      <c r="L94" s="29">
        <f t="shared" si="20"/>
        <v>0</v>
      </c>
      <c r="M94" s="19">
        <f t="shared" si="11"/>
        <v>0</v>
      </c>
      <c r="N94" s="18">
        <f t="shared" si="12"/>
        <v>0</v>
      </c>
      <c r="O94" s="18">
        <f ca="1">IF(Table2[[#This Row],[BL Project Start]]&gt;$B$2, 0,M94)</f>
        <v>0</v>
      </c>
      <c r="P94" s="18">
        <f t="shared" si="13"/>
        <v>0</v>
      </c>
      <c r="Q94" s="14" t="str">
        <f t="shared" si="14"/>
        <v/>
      </c>
      <c r="R94" s="28" t="str">
        <f t="shared" ca="1" si="15"/>
        <v/>
      </c>
      <c r="S94" s="23">
        <f t="shared" si="16"/>
        <v>0</v>
      </c>
      <c r="T94" s="23">
        <f t="shared" ca="1" si="17"/>
        <v>0</v>
      </c>
      <c r="U94" s="23">
        <f t="shared" si="18"/>
        <v>0</v>
      </c>
      <c r="V94" s="33">
        <f t="shared" si="21"/>
        <v>45747</v>
      </c>
    </row>
    <row r="95" spans="1:22" ht="14.5" x14ac:dyDescent="0.35">
      <c r="A95" s="32" t="s">
        <v>468</v>
      </c>
      <c r="B95" s="30">
        <v>45723.333333333299</v>
      </c>
      <c r="C95" s="30">
        <v>45742.708333333299</v>
      </c>
      <c r="D95" s="30">
        <v>45723.333333333299</v>
      </c>
      <c r="E95" s="30">
        <v>45748.708333333299</v>
      </c>
      <c r="F95" s="21" t="s">
        <v>83</v>
      </c>
      <c r="G95" s="25">
        <v>1</v>
      </c>
      <c r="H95" s="14">
        <v>135</v>
      </c>
      <c r="I95" s="18"/>
      <c r="J95" s="27">
        <v>1</v>
      </c>
      <c r="K95" s="29">
        <f t="shared" si="19"/>
        <v>19.375</v>
      </c>
      <c r="L95" s="29">
        <f t="shared" si="20"/>
        <v>25.375</v>
      </c>
      <c r="M95" s="19">
        <f t="shared" si="11"/>
        <v>20925</v>
      </c>
      <c r="N95" s="18">
        <f t="shared" si="12"/>
        <v>27405</v>
      </c>
      <c r="O95" s="18">
        <f ca="1">IF(Table2[[#This Row],[BL Project Start]]&gt;$B$2, 0,M95)</f>
        <v>20925</v>
      </c>
      <c r="P95" s="18">
        <f t="shared" si="13"/>
        <v>20925</v>
      </c>
      <c r="Q95" s="14">
        <f t="shared" si="14"/>
        <v>0.76354679802955661</v>
      </c>
      <c r="R95" s="28">
        <f t="shared" ca="1" si="15"/>
        <v>1</v>
      </c>
      <c r="S95" s="23">
        <f t="shared" si="16"/>
        <v>-6480</v>
      </c>
      <c r="T95" s="23">
        <f t="shared" ca="1" si="17"/>
        <v>0</v>
      </c>
      <c r="U95" s="23">
        <f t="shared" si="18"/>
        <v>27405</v>
      </c>
      <c r="V95" s="33">
        <f t="shared" si="21"/>
        <v>45747</v>
      </c>
    </row>
    <row r="96" spans="1:22" ht="14.5" x14ac:dyDescent="0.35">
      <c r="A96" s="32" t="s">
        <v>202</v>
      </c>
      <c r="B96" s="30">
        <v>45743.333333333299</v>
      </c>
      <c r="C96" s="30">
        <v>45755.708333333299</v>
      </c>
      <c r="D96" s="30">
        <v>45743.333333333299</v>
      </c>
      <c r="E96" s="30">
        <v>45757.708333333299</v>
      </c>
      <c r="F96" s="21" t="s">
        <v>83</v>
      </c>
      <c r="G96" s="25">
        <v>1</v>
      </c>
      <c r="H96" s="14">
        <v>135</v>
      </c>
      <c r="I96" s="18"/>
      <c r="J96" s="27">
        <v>1</v>
      </c>
      <c r="K96" s="29">
        <f t="shared" si="19"/>
        <v>12.375</v>
      </c>
      <c r="L96" s="29">
        <f t="shared" si="20"/>
        <v>14.375</v>
      </c>
      <c r="M96" s="19">
        <f t="shared" si="11"/>
        <v>13365</v>
      </c>
      <c r="N96" s="18">
        <f t="shared" si="12"/>
        <v>15525</v>
      </c>
      <c r="O96" s="18">
        <f ca="1">IF(Table2[[#This Row],[BL Project Start]]&gt;$B$2, 0,M96)</f>
        <v>13365</v>
      </c>
      <c r="P96" s="18">
        <f t="shared" si="13"/>
        <v>13365</v>
      </c>
      <c r="Q96" s="14">
        <f t="shared" si="14"/>
        <v>0.86086956521739133</v>
      </c>
      <c r="R96" s="28">
        <f t="shared" ca="1" si="15"/>
        <v>1</v>
      </c>
      <c r="S96" s="23">
        <f t="shared" si="16"/>
        <v>-2160</v>
      </c>
      <c r="T96" s="23">
        <f t="shared" ca="1" si="17"/>
        <v>0</v>
      </c>
      <c r="U96" s="23">
        <f t="shared" si="18"/>
        <v>15525</v>
      </c>
      <c r="V96" s="33">
        <f t="shared" si="21"/>
        <v>45777</v>
      </c>
    </row>
    <row r="97" spans="1:22" ht="14.5" x14ac:dyDescent="0.35">
      <c r="A97" s="32" t="s">
        <v>204</v>
      </c>
      <c r="B97" s="30">
        <v>45756.333333333299</v>
      </c>
      <c r="C97" s="30">
        <v>45764.708333333299</v>
      </c>
      <c r="D97" s="30">
        <v>45757.333333333299</v>
      </c>
      <c r="E97" s="30">
        <v>45765.708333333299</v>
      </c>
      <c r="F97" s="21" t="s">
        <v>83</v>
      </c>
      <c r="G97" s="25">
        <v>1</v>
      </c>
      <c r="H97" s="14">
        <v>135</v>
      </c>
      <c r="I97" s="18"/>
      <c r="J97" s="27">
        <v>1</v>
      </c>
      <c r="K97" s="29">
        <f t="shared" si="19"/>
        <v>8.375</v>
      </c>
      <c r="L97" s="29">
        <f t="shared" si="20"/>
        <v>8.375</v>
      </c>
      <c r="M97" s="19">
        <f t="shared" si="11"/>
        <v>9045</v>
      </c>
      <c r="N97" s="18">
        <f t="shared" si="12"/>
        <v>9045</v>
      </c>
      <c r="O97" s="18">
        <f ca="1">IF(Table2[[#This Row],[BL Project Start]]&gt;$B$2, 0,M97)</f>
        <v>9045</v>
      </c>
      <c r="P97" s="18">
        <f t="shared" si="13"/>
        <v>9045</v>
      </c>
      <c r="Q97" s="14">
        <f t="shared" si="14"/>
        <v>1</v>
      </c>
      <c r="R97" s="28">
        <f t="shared" ca="1" si="15"/>
        <v>1</v>
      </c>
      <c r="S97" s="23">
        <f t="shared" si="16"/>
        <v>0</v>
      </c>
      <c r="T97" s="23">
        <f t="shared" ca="1" si="17"/>
        <v>0</v>
      </c>
      <c r="U97" s="23">
        <f t="shared" si="18"/>
        <v>9045</v>
      </c>
      <c r="V97" s="33">
        <f t="shared" si="21"/>
        <v>45777</v>
      </c>
    </row>
    <row r="98" spans="1:22" ht="14.5" x14ac:dyDescent="0.35">
      <c r="A98" s="32" t="s">
        <v>206</v>
      </c>
      <c r="B98" s="30">
        <v>45765.333333333299</v>
      </c>
      <c r="C98" s="30">
        <v>45916.708333333299</v>
      </c>
      <c r="D98" s="30">
        <v>45765.333333333299</v>
      </c>
      <c r="E98" s="30">
        <v>45916.708333333299</v>
      </c>
      <c r="F98" s="21" t="s">
        <v>207</v>
      </c>
      <c r="G98" s="25">
        <v>1</v>
      </c>
      <c r="H98" s="14" t="s">
        <v>5</v>
      </c>
      <c r="I98" s="18">
        <v>62000000</v>
      </c>
      <c r="J98" s="27">
        <v>1</v>
      </c>
      <c r="K98" s="29">
        <f t="shared" si="19"/>
        <v>151.375</v>
      </c>
      <c r="L98" s="29">
        <f t="shared" si="20"/>
        <v>151.375</v>
      </c>
      <c r="M98" s="19">
        <f t="shared" si="11"/>
        <v>62000000</v>
      </c>
      <c r="N98" s="18">
        <f t="shared" si="12"/>
        <v>62000000</v>
      </c>
      <c r="O98" s="18">
        <f ca="1">IF(Table2[[#This Row],[BL Project Start]]&gt;$B$2, 0,M98)</f>
        <v>62000000</v>
      </c>
      <c r="P98" s="18">
        <f t="shared" si="13"/>
        <v>62000000</v>
      </c>
      <c r="Q98" s="14">
        <f t="shared" si="14"/>
        <v>1</v>
      </c>
      <c r="R98" s="28">
        <f t="shared" ca="1" si="15"/>
        <v>1</v>
      </c>
      <c r="S98" s="23">
        <f t="shared" si="16"/>
        <v>0</v>
      </c>
      <c r="T98" s="23">
        <f t="shared" ca="1" si="17"/>
        <v>0</v>
      </c>
      <c r="U98" s="23">
        <f t="shared" si="18"/>
        <v>62000000</v>
      </c>
      <c r="V98" s="33">
        <f t="shared" si="21"/>
        <v>45930</v>
      </c>
    </row>
    <row r="99" spans="1:22" ht="14.5" x14ac:dyDescent="0.35">
      <c r="A99" s="32" t="s">
        <v>209</v>
      </c>
      <c r="B99" s="30">
        <v>45917.333333333299</v>
      </c>
      <c r="C99" s="30">
        <v>45918.708333333299</v>
      </c>
      <c r="D99" s="30">
        <v>45917.333333333299</v>
      </c>
      <c r="E99" s="30">
        <v>45918.708333333299</v>
      </c>
      <c r="F99" s="21" t="s">
        <v>210</v>
      </c>
      <c r="G99" s="25">
        <v>1</v>
      </c>
      <c r="H99" s="14">
        <v>90</v>
      </c>
      <c r="I99" s="18"/>
      <c r="J99" s="27">
        <v>1</v>
      </c>
      <c r="K99" s="29">
        <f t="shared" si="19"/>
        <v>1.375</v>
      </c>
      <c r="L99" s="29">
        <f t="shared" si="20"/>
        <v>1.375</v>
      </c>
      <c r="M99" s="19">
        <f t="shared" si="11"/>
        <v>990</v>
      </c>
      <c r="N99" s="18">
        <f t="shared" si="12"/>
        <v>990</v>
      </c>
      <c r="O99" s="18">
        <f ca="1">IF(Table2[[#This Row],[BL Project Start]]&gt;$B$2, 0,M99)</f>
        <v>990</v>
      </c>
      <c r="P99" s="18">
        <f t="shared" si="13"/>
        <v>990</v>
      </c>
      <c r="Q99" s="14">
        <f t="shared" si="14"/>
        <v>1</v>
      </c>
      <c r="R99" s="28">
        <f t="shared" ca="1" si="15"/>
        <v>1</v>
      </c>
      <c r="S99" s="23">
        <f t="shared" si="16"/>
        <v>0</v>
      </c>
      <c r="T99" s="23">
        <f t="shared" ca="1" si="17"/>
        <v>0</v>
      </c>
      <c r="U99" s="23">
        <f t="shared" si="18"/>
        <v>990</v>
      </c>
      <c r="V99" s="33">
        <f t="shared" si="21"/>
        <v>45930</v>
      </c>
    </row>
    <row r="100" spans="1:22" ht="14.5" x14ac:dyDescent="0.35">
      <c r="A100" s="32" t="s">
        <v>212</v>
      </c>
      <c r="B100" s="30">
        <v>45919.333333333299</v>
      </c>
      <c r="C100" s="30">
        <v>45930.708333333299</v>
      </c>
      <c r="D100" s="30">
        <v>45919.333333333299</v>
      </c>
      <c r="E100" s="30">
        <v>45930.708333333299</v>
      </c>
      <c r="F100" s="21" t="s">
        <v>213</v>
      </c>
      <c r="G100" s="25">
        <v>1</v>
      </c>
      <c r="H100" s="14">
        <v>85</v>
      </c>
      <c r="I100" s="18"/>
      <c r="J100" s="27">
        <v>1</v>
      </c>
      <c r="K100" s="29">
        <f t="shared" si="19"/>
        <v>11.375</v>
      </c>
      <c r="L100" s="29">
        <f t="shared" si="20"/>
        <v>11.375</v>
      </c>
      <c r="M100" s="19">
        <f t="shared" si="11"/>
        <v>7735</v>
      </c>
      <c r="N100" s="18">
        <f t="shared" si="12"/>
        <v>7735</v>
      </c>
      <c r="O100" s="18">
        <f ca="1">IF(Table2[[#This Row],[BL Project Start]]&gt;$B$2, 0,M100)</f>
        <v>7735</v>
      </c>
      <c r="P100" s="18">
        <f t="shared" si="13"/>
        <v>7735</v>
      </c>
      <c r="Q100" s="14">
        <f t="shared" si="14"/>
        <v>1</v>
      </c>
      <c r="R100" s="28">
        <f t="shared" ca="1" si="15"/>
        <v>1</v>
      </c>
      <c r="S100" s="23">
        <f t="shared" si="16"/>
        <v>0</v>
      </c>
      <c r="T100" s="23">
        <f t="shared" ca="1" si="17"/>
        <v>0</v>
      </c>
      <c r="U100" s="23">
        <f t="shared" si="18"/>
        <v>7735</v>
      </c>
      <c r="V100" s="33">
        <f t="shared" si="21"/>
        <v>45930</v>
      </c>
    </row>
    <row r="101" spans="1:22" ht="14.5" x14ac:dyDescent="0.35">
      <c r="A101" s="32" t="s">
        <v>215</v>
      </c>
      <c r="B101" s="30">
        <v>45931.333333333299</v>
      </c>
      <c r="C101" s="30">
        <v>45931.708333333299</v>
      </c>
      <c r="D101" s="30">
        <v>45931.333333333299</v>
      </c>
      <c r="E101" s="30">
        <v>45936.708333333299</v>
      </c>
      <c r="F101" s="21" t="s">
        <v>5</v>
      </c>
      <c r="G101" s="25">
        <v>1</v>
      </c>
      <c r="H101" s="14" t="s">
        <v>5</v>
      </c>
      <c r="I101" s="18"/>
      <c r="J101" s="27">
        <v>1</v>
      </c>
      <c r="K101" s="29">
        <f t="shared" si="19"/>
        <v>0.375</v>
      </c>
      <c r="L101" s="29">
        <f t="shared" si="20"/>
        <v>5.375</v>
      </c>
      <c r="M101" s="19">
        <f t="shared" si="11"/>
        <v>0</v>
      </c>
      <c r="N101" s="18">
        <f t="shared" si="12"/>
        <v>0</v>
      </c>
      <c r="O101" s="18">
        <f ca="1">IF(Table2[[#This Row],[BL Project Start]]&gt;$B$2, 0,M101)</f>
        <v>0</v>
      </c>
      <c r="P101" s="18">
        <f t="shared" si="13"/>
        <v>0</v>
      </c>
      <c r="Q101" s="14" t="str">
        <f t="shared" si="14"/>
        <v/>
      </c>
      <c r="R101" s="28" t="str">
        <f t="shared" ca="1" si="15"/>
        <v/>
      </c>
      <c r="S101" s="23">
        <f t="shared" si="16"/>
        <v>0</v>
      </c>
      <c r="T101" s="23">
        <f t="shared" ca="1" si="17"/>
        <v>0</v>
      </c>
      <c r="U101" s="23">
        <f t="shared" si="18"/>
        <v>0</v>
      </c>
      <c r="V101" s="33">
        <f t="shared" si="21"/>
        <v>45961</v>
      </c>
    </row>
    <row r="102" spans="1:22" ht="14.5" x14ac:dyDescent="0.35">
      <c r="A102" s="32" t="s">
        <v>662</v>
      </c>
      <c r="B102" s="30">
        <v>45639.333333333299</v>
      </c>
      <c r="C102" s="30">
        <v>45646.708333333299</v>
      </c>
      <c r="D102" s="30">
        <v>45639.333333333299</v>
      </c>
      <c r="E102" s="30">
        <v>45646.708333333299</v>
      </c>
      <c r="F102" s="21" t="s">
        <v>194</v>
      </c>
      <c r="G102" s="25">
        <v>1</v>
      </c>
      <c r="H102" s="14">
        <v>120</v>
      </c>
      <c r="I102" s="18"/>
      <c r="J102" s="27">
        <v>1</v>
      </c>
      <c r="K102" s="29">
        <f t="shared" si="19"/>
        <v>7.375</v>
      </c>
      <c r="L102" s="29">
        <f t="shared" si="20"/>
        <v>7.375</v>
      </c>
      <c r="M102" s="19">
        <f t="shared" si="11"/>
        <v>7080</v>
      </c>
      <c r="N102" s="18">
        <f t="shared" si="12"/>
        <v>7080</v>
      </c>
      <c r="O102" s="18">
        <f ca="1">IF(Table2[[#This Row],[BL Project Start]]&gt;$B$2, 0,M102)</f>
        <v>7080</v>
      </c>
      <c r="P102" s="18">
        <f t="shared" si="13"/>
        <v>7080</v>
      </c>
      <c r="Q102" s="14">
        <f t="shared" si="14"/>
        <v>1</v>
      </c>
      <c r="R102" s="28">
        <f t="shared" ca="1" si="15"/>
        <v>1</v>
      </c>
      <c r="S102" s="23">
        <f t="shared" si="16"/>
        <v>0</v>
      </c>
      <c r="T102" s="23">
        <f t="shared" ca="1" si="17"/>
        <v>0</v>
      </c>
      <c r="U102" s="23">
        <f t="shared" si="18"/>
        <v>7080</v>
      </c>
      <c r="V102" s="33">
        <f t="shared" si="21"/>
        <v>45657</v>
      </c>
    </row>
    <row r="103" spans="1:22" ht="14.5" x14ac:dyDescent="0.35">
      <c r="A103" s="32" t="s">
        <v>219</v>
      </c>
      <c r="B103" s="30">
        <v>45649.333333333299</v>
      </c>
      <c r="C103" s="30" t="s">
        <v>5</v>
      </c>
      <c r="D103" s="30">
        <v>45649.333333333299</v>
      </c>
      <c r="E103" s="30" t="s">
        <v>5</v>
      </c>
      <c r="F103" s="21" t="s">
        <v>5</v>
      </c>
      <c r="G103" s="25">
        <v>1</v>
      </c>
      <c r="H103" s="14" t="s">
        <v>5</v>
      </c>
      <c r="I103" s="18"/>
      <c r="J103" s="27">
        <v>1</v>
      </c>
      <c r="K103" s="29">
        <f t="shared" si="19"/>
        <v>0</v>
      </c>
      <c r="L103" s="29">
        <f t="shared" si="20"/>
        <v>0</v>
      </c>
      <c r="M103" s="19">
        <f t="shared" si="11"/>
        <v>0</v>
      </c>
      <c r="N103" s="18">
        <f t="shared" si="12"/>
        <v>0</v>
      </c>
      <c r="O103" s="18">
        <f ca="1">IF(Table2[[#This Row],[BL Project Start]]&gt;$B$2, 0,M103)</f>
        <v>0</v>
      </c>
      <c r="P103" s="18">
        <f t="shared" si="13"/>
        <v>0</v>
      </c>
      <c r="Q103" s="14" t="str">
        <f t="shared" si="14"/>
        <v/>
      </c>
      <c r="R103" s="28" t="str">
        <f t="shared" ca="1" si="15"/>
        <v/>
      </c>
      <c r="S103" s="23">
        <f t="shared" si="16"/>
        <v>0</v>
      </c>
      <c r="T103" s="23">
        <f t="shared" ca="1" si="17"/>
        <v>0</v>
      </c>
      <c r="U103" s="23">
        <f t="shared" si="18"/>
        <v>0</v>
      </c>
      <c r="V103" s="33">
        <f t="shared" si="21"/>
        <v>45657</v>
      </c>
    </row>
    <row r="104" spans="1:22" ht="14.5" x14ac:dyDescent="0.35">
      <c r="A104" s="32" t="s">
        <v>221</v>
      </c>
      <c r="B104" s="30">
        <v>45649.333333333299</v>
      </c>
      <c r="C104" s="30">
        <v>45672.708333333299</v>
      </c>
      <c r="D104" s="30">
        <v>45649.333333333299</v>
      </c>
      <c r="E104" s="30">
        <v>45672.708333333299</v>
      </c>
      <c r="F104" s="21" t="s">
        <v>112</v>
      </c>
      <c r="G104" s="25">
        <v>1</v>
      </c>
      <c r="H104" s="14">
        <v>135</v>
      </c>
      <c r="I104" s="18"/>
      <c r="J104" s="27">
        <v>1</v>
      </c>
      <c r="K104" s="29">
        <f t="shared" si="19"/>
        <v>23.375</v>
      </c>
      <c r="L104" s="29">
        <f t="shared" si="20"/>
        <v>23.375</v>
      </c>
      <c r="M104" s="19">
        <f t="shared" si="11"/>
        <v>25245</v>
      </c>
      <c r="N104" s="18">
        <f t="shared" si="12"/>
        <v>25245</v>
      </c>
      <c r="O104" s="18">
        <f ca="1">IF(Table2[[#This Row],[BL Project Start]]&gt;$B$2, 0,M104)</f>
        <v>25245</v>
      </c>
      <c r="P104" s="18">
        <f t="shared" si="13"/>
        <v>25245</v>
      </c>
      <c r="Q104" s="14">
        <f t="shared" si="14"/>
        <v>1</v>
      </c>
      <c r="R104" s="28">
        <f t="shared" ca="1" si="15"/>
        <v>1</v>
      </c>
      <c r="S104" s="23">
        <f t="shared" si="16"/>
        <v>0</v>
      </c>
      <c r="T104" s="23">
        <f t="shared" ca="1" si="17"/>
        <v>0</v>
      </c>
      <c r="U104" s="23">
        <f t="shared" si="18"/>
        <v>25245</v>
      </c>
      <c r="V104" s="33">
        <f t="shared" si="21"/>
        <v>45688</v>
      </c>
    </row>
    <row r="105" spans="1:22" ht="14.5" x14ac:dyDescent="0.35">
      <c r="A105" s="32" t="s">
        <v>223</v>
      </c>
      <c r="B105" s="30">
        <v>45560.333333333299</v>
      </c>
      <c r="C105" s="30">
        <v>45604.708333333299</v>
      </c>
      <c r="D105" s="30">
        <v>45560.333333333299</v>
      </c>
      <c r="E105" s="30">
        <v>45604.708333333299</v>
      </c>
      <c r="F105" s="21" t="s">
        <v>224</v>
      </c>
      <c r="G105" s="25">
        <v>1</v>
      </c>
      <c r="H105" s="14" t="s">
        <v>5</v>
      </c>
      <c r="I105" s="18">
        <v>2500000</v>
      </c>
      <c r="J105" s="27">
        <v>1</v>
      </c>
      <c r="K105" s="29">
        <f t="shared" si="19"/>
        <v>44.375</v>
      </c>
      <c r="L105" s="29">
        <f t="shared" si="20"/>
        <v>44.375</v>
      </c>
      <c r="M105" s="19">
        <f t="shared" si="11"/>
        <v>2500000</v>
      </c>
      <c r="N105" s="18">
        <f t="shared" si="12"/>
        <v>2500000</v>
      </c>
      <c r="O105" s="18">
        <f ca="1">IF(Table2[[#This Row],[BL Project Start]]&gt;$B$2, 0,M105)</f>
        <v>2500000</v>
      </c>
      <c r="P105" s="18">
        <f t="shared" si="13"/>
        <v>2500000</v>
      </c>
      <c r="Q105" s="14">
        <f t="shared" si="14"/>
        <v>1</v>
      </c>
      <c r="R105" s="28">
        <f t="shared" ca="1" si="15"/>
        <v>1</v>
      </c>
      <c r="S105" s="23">
        <f t="shared" si="16"/>
        <v>0</v>
      </c>
      <c r="T105" s="23">
        <f t="shared" ca="1" si="17"/>
        <v>0</v>
      </c>
      <c r="U105" s="23">
        <f t="shared" si="18"/>
        <v>2500000</v>
      </c>
      <c r="V105" s="33">
        <f t="shared" si="21"/>
        <v>45626</v>
      </c>
    </row>
    <row r="106" spans="1:22" ht="14.5" x14ac:dyDescent="0.35">
      <c r="A106" s="32" t="s">
        <v>226</v>
      </c>
      <c r="B106" s="30">
        <v>45607.333333333299</v>
      </c>
      <c r="C106" s="30">
        <v>45608.708333333299</v>
      </c>
      <c r="D106" s="30">
        <v>45730.333333333299</v>
      </c>
      <c r="E106" s="30">
        <v>45733.708333333299</v>
      </c>
      <c r="F106" s="21" t="s">
        <v>213</v>
      </c>
      <c r="G106" s="25">
        <v>1</v>
      </c>
      <c r="H106" s="14">
        <v>85</v>
      </c>
      <c r="I106" s="18"/>
      <c r="J106" s="27">
        <v>1</v>
      </c>
      <c r="K106" s="29">
        <f t="shared" si="19"/>
        <v>1.375</v>
      </c>
      <c r="L106" s="29">
        <f t="shared" si="20"/>
        <v>3.375</v>
      </c>
      <c r="M106" s="19">
        <f t="shared" si="11"/>
        <v>935</v>
      </c>
      <c r="N106" s="18">
        <f t="shared" si="12"/>
        <v>2295</v>
      </c>
      <c r="O106" s="18">
        <f ca="1">IF(Table2[[#This Row],[BL Project Start]]&gt;$B$2, 0,M106)</f>
        <v>935</v>
      </c>
      <c r="P106" s="18">
        <f t="shared" si="13"/>
        <v>935</v>
      </c>
      <c r="Q106" s="14">
        <f t="shared" si="14"/>
        <v>0.40740740740740738</v>
      </c>
      <c r="R106" s="28">
        <f t="shared" ca="1" si="15"/>
        <v>1</v>
      </c>
      <c r="S106" s="23">
        <f t="shared" si="16"/>
        <v>-1360</v>
      </c>
      <c r="T106" s="23">
        <f t="shared" ca="1" si="17"/>
        <v>0</v>
      </c>
      <c r="U106" s="23">
        <f t="shared" si="18"/>
        <v>2295</v>
      </c>
      <c r="V106" s="33">
        <f t="shared" si="21"/>
        <v>45626</v>
      </c>
    </row>
    <row r="107" spans="1:22" ht="14.5" x14ac:dyDescent="0.35">
      <c r="A107" s="32" t="s">
        <v>663</v>
      </c>
      <c r="B107" s="30">
        <v>45698.333333333299</v>
      </c>
      <c r="C107" s="30">
        <v>45706.708333333299</v>
      </c>
      <c r="D107" s="30">
        <v>45733.333333333299</v>
      </c>
      <c r="E107" s="30">
        <v>45741.708333333299</v>
      </c>
      <c r="F107" s="21" t="s">
        <v>5</v>
      </c>
      <c r="G107" s="25">
        <v>1</v>
      </c>
      <c r="H107" s="14" t="s">
        <v>5</v>
      </c>
      <c r="I107" s="18"/>
      <c r="J107" s="27">
        <v>1</v>
      </c>
      <c r="K107" s="29">
        <f t="shared" si="19"/>
        <v>8.375</v>
      </c>
      <c r="L107" s="29">
        <f t="shared" si="20"/>
        <v>8.375</v>
      </c>
      <c r="M107" s="19">
        <f t="shared" si="11"/>
        <v>0</v>
      </c>
      <c r="N107" s="18">
        <f t="shared" si="12"/>
        <v>0</v>
      </c>
      <c r="O107" s="18">
        <f ca="1">IF(Table2[[#This Row],[BL Project Start]]&gt;$B$2, 0,M107)</f>
        <v>0</v>
      </c>
      <c r="P107" s="18">
        <f t="shared" si="13"/>
        <v>0</v>
      </c>
      <c r="Q107" s="14" t="str">
        <f t="shared" si="14"/>
        <v/>
      </c>
      <c r="R107" s="28" t="str">
        <f t="shared" ca="1" si="15"/>
        <v/>
      </c>
      <c r="S107" s="23">
        <f t="shared" si="16"/>
        <v>0</v>
      </c>
      <c r="T107" s="23">
        <f t="shared" ca="1" si="17"/>
        <v>0</v>
      </c>
      <c r="U107" s="23">
        <f t="shared" si="18"/>
        <v>0</v>
      </c>
      <c r="V107" s="33">
        <f t="shared" si="21"/>
        <v>45716</v>
      </c>
    </row>
    <row r="108" spans="1:22" ht="14.5" x14ac:dyDescent="0.35">
      <c r="A108" s="32" t="s">
        <v>230</v>
      </c>
      <c r="B108" s="30">
        <v>45707.333333333299</v>
      </c>
      <c r="C108" s="30">
        <v>45708.708333333299</v>
      </c>
      <c r="D108" s="30">
        <v>45741.333333333299</v>
      </c>
      <c r="E108" s="30">
        <v>45742.708333333299</v>
      </c>
      <c r="F108" s="21" t="s">
        <v>194</v>
      </c>
      <c r="G108" s="25">
        <v>1</v>
      </c>
      <c r="H108" s="14">
        <v>120</v>
      </c>
      <c r="I108" s="18"/>
      <c r="J108" s="27">
        <v>1</v>
      </c>
      <c r="K108" s="29">
        <f t="shared" si="19"/>
        <v>1.375</v>
      </c>
      <c r="L108" s="29">
        <f t="shared" si="20"/>
        <v>1.375</v>
      </c>
      <c r="M108" s="19">
        <f t="shared" si="11"/>
        <v>1320</v>
      </c>
      <c r="N108" s="18">
        <f t="shared" si="12"/>
        <v>1320</v>
      </c>
      <c r="O108" s="18">
        <f ca="1">IF(Table2[[#This Row],[BL Project Start]]&gt;$B$2, 0,M108)</f>
        <v>1320</v>
      </c>
      <c r="P108" s="18">
        <f t="shared" si="13"/>
        <v>1320</v>
      </c>
      <c r="Q108" s="14">
        <f t="shared" si="14"/>
        <v>1</v>
      </c>
      <c r="R108" s="28">
        <f t="shared" ca="1" si="15"/>
        <v>1</v>
      </c>
      <c r="S108" s="23">
        <f t="shared" si="16"/>
        <v>0</v>
      </c>
      <c r="T108" s="23">
        <f t="shared" ca="1" si="17"/>
        <v>0</v>
      </c>
      <c r="U108" s="23">
        <f t="shared" si="18"/>
        <v>1320</v>
      </c>
      <c r="V108" s="33">
        <f t="shared" si="21"/>
        <v>45716</v>
      </c>
    </row>
    <row r="109" spans="1:22" ht="14.5" x14ac:dyDescent="0.35">
      <c r="A109" s="32" t="s">
        <v>232</v>
      </c>
      <c r="B109" s="30">
        <v>45709.333333333299</v>
      </c>
      <c r="C109" s="30">
        <v>45735.708333333299</v>
      </c>
      <c r="D109" s="30">
        <v>45709.333333333299</v>
      </c>
      <c r="E109" s="30" t="s">
        <v>5</v>
      </c>
      <c r="F109" s="21" t="s">
        <v>194</v>
      </c>
      <c r="G109" s="25">
        <v>0.47369999999999995</v>
      </c>
      <c r="H109" s="14">
        <v>120</v>
      </c>
      <c r="I109" s="18"/>
      <c r="J109" s="27">
        <v>1</v>
      </c>
      <c r="K109" s="29">
        <f t="shared" si="19"/>
        <v>26.375</v>
      </c>
      <c r="L109" s="29">
        <f t="shared" si="20"/>
        <v>0</v>
      </c>
      <c r="M109" s="19">
        <f t="shared" si="11"/>
        <v>25320</v>
      </c>
      <c r="N109" s="18">
        <f t="shared" si="12"/>
        <v>0</v>
      </c>
      <c r="O109" s="18">
        <f ca="1">IF(Table2[[#This Row],[BL Project Start]]&gt;$B$2, 0,M109)</f>
        <v>25320</v>
      </c>
      <c r="P109" s="18">
        <f t="shared" si="13"/>
        <v>11994.083999999999</v>
      </c>
      <c r="Q109" s="14" t="str">
        <f t="shared" si="14"/>
        <v/>
      </c>
      <c r="R109" s="28">
        <f t="shared" ca="1" si="15"/>
        <v>0.47369999999999995</v>
      </c>
      <c r="S109" s="23">
        <f t="shared" si="16"/>
        <v>11994.083999999999</v>
      </c>
      <c r="T109" s="23">
        <f t="shared" ca="1" si="17"/>
        <v>-13325.916000000001</v>
      </c>
      <c r="U109" s="23">
        <f t="shared" si="18"/>
        <v>13325.916000000001</v>
      </c>
      <c r="V109" s="33">
        <f t="shared" si="21"/>
        <v>45747</v>
      </c>
    </row>
    <row r="110" spans="1:22" ht="14.5" x14ac:dyDescent="0.35">
      <c r="A110" s="32" t="s">
        <v>664</v>
      </c>
      <c r="B110" s="30">
        <v>45751.333333333299</v>
      </c>
      <c r="C110" s="30">
        <v>45757.708333333299</v>
      </c>
      <c r="D110" s="30">
        <v>45742.333333333299</v>
      </c>
      <c r="E110" s="30">
        <v>45758.708333333299</v>
      </c>
      <c r="F110" s="21" t="s">
        <v>5</v>
      </c>
      <c r="G110" s="25">
        <v>1</v>
      </c>
      <c r="H110" s="14" t="s">
        <v>5</v>
      </c>
      <c r="I110" s="18"/>
      <c r="J110" s="27">
        <v>1</v>
      </c>
      <c r="K110" s="29">
        <f t="shared" si="19"/>
        <v>6.375</v>
      </c>
      <c r="L110" s="29">
        <f t="shared" si="20"/>
        <v>16.375</v>
      </c>
      <c r="M110" s="19">
        <f t="shared" si="11"/>
        <v>0</v>
      </c>
      <c r="N110" s="18">
        <f t="shared" si="12"/>
        <v>0</v>
      </c>
      <c r="O110" s="18">
        <f ca="1">IF(Table2[[#This Row],[BL Project Start]]&gt;$B$2, 0,M110)</f>
        <v>0</v>
      </c>
      <c r="P110" s="18">
        <f t="shared" si="13"/>
        <v>0</v>
      </c>
      <c r="Q110" s="14" t="str">
        <f t="shared" si="14"/>
        <v/>
      </c>
      <c r="R110" s="28" t="str">
        <f t="shared" ca="1" si="15"/>
        <v/>
      </c>
      <c r="S110" s="23">
        <f t="shared" si="16"/>
        <v>0</v>
      </c>
      <c r="T110" s="23">
        <f t="shared" ca="1" si="17"/>
        <v>0</v>
      </c>
      <c r="U110" s="23">
        <f t="shared" si="18"/>
        <v>0</v>
      </c>
      <c r="V110" s="33">
        <f t="shared" si="21"/>
        <v>45777</v>
      </c>
    </row>
    <row r="111" spans="1:22" ht="14.5" x14ac:dyDescent="0.35">
      <c r="A111" s="32" t="s">
        <v>236</v>
      </c>
      <c r="B111" s="30">
        <v>45758.333333333299</v>
      </c>
      <c r="C111" s="30" t="s">
        <v>5</v>
      </c>
      <c r="D111" s="30">
        <v>45758.333333333299</v>
      </c>
      <c r="E111" s="30" t="s">
        <v>5</v>
      </c>
      <c r="F111" s="21" t="s">
        <v>5</v>
      </c>
      <c r="G111" s="25">
        <v>1</v>
      </c>
      <c r="H111" s="14" t="s">
        <v>5</v>
      </c>
      <c r="I111" s="18"/>
      <c r="J111" s="27">
        <v>1</v>
      </c>
      <c r="K111" s="29">
        <f t="shared" si="19"/>
        <v>0</v>
      </c>
      <c r="L111" s="29">
        <f t="shared" si="20"/>
        <v>0</v>
      </c>
      <c r="M111" s="19">
        <f t="shared" si="11"/>
        <v>0</v>
      </c>
      <c r="N111" s="18">
        <f t="shared" si="12"/>
        <v>0</v>
      </c>
      <c r="O111" s="18">
        <f ca="1">IF(Table2[[#This Row],[BL Project Start]]&gt;$B$2, 0,M111)</f>
        <v>0</v>
      </c>
      <c r="P111" s="18">
        <f t="shared" si="13"/>
        <v>0</v>
      </c>
      <c r="Q111" s="14" t="str">
        <f t="shared" si="14"/>
        <v/>
      </c>
      <c r="R111" s="28" t="str">
        <f t="shared" ca="1" si="15"/>
        <v/>
      </c>
      <c r="S111" s="23">
        <f t="shared" si="16"/>
        <v>0</v>
      </c>
      <c r="T111" s="23">
        <f t="shared" ca="1" si="17"/>
        <v>0</v>
      </c>
      <c r="U111" s="23">
        <f t="shared" si="18"/>
        <v>0</v>
      </c>
      <c r="V111" s="33">
        <f t="shared" si="21"/>
        <v>45777</v>
      </c>
    </row>
    <row r="112" spans="1:22" ht="14.5" x14ac:dyDescent="0.35">
      <c r="A112" s="32" t="s">
        <v>470</v>
      </c>
      <c r="B112" s="30">
        <v>45758.333333333299</v>
      </c>
      <c r="C112" s="30">
        <v>45783.708333333299</v>
      </c>
      <c r="D112" s="30">
        <v>45758.333333333299</v>
      </c>
      <c r="E112" s="30">
        <v>45783.708333333299</v>
      </c>
      <c r="F112" s="21" t="s">
        <v>129</v>
      </c>
      <c r="G112" s="25">
        <v>1</v>
      </c>
      <c r="H112" s="14">
        <v>135</v>
      </c>
      <c r="I112" s="18"/>
      <c r="J112" s="27">
        <v>1</v>
      </c>
      <c r="K112" s="29">
        <f t="shared" si="19"/>
        <v>25.375</v>
      </c>
      <c r="L112" s="29">
        <f t="shared" si="20"/>
        <v>25.375</v>
      </c>
      <c r="M112" s="19">
        <f t="shared" si="11"/>
        <v>27405</v>
      </c>
      <c r="N112" s="18">
        <f t="shared" si="12"/>
        <v>27405</v>
      </c>
      <c r="O112" s="18">
        <f ca="1">IF(Table2[[#This Row],[BL Project Start]]&gt;$B$2, 0,M112)</f>
        <v>27405</v>
      </c>
      <c r="P112" s="18">
        <f t="shared" si="13"/>
        <v>27405</v>
      </c>
      <c r="Q112" s="14">
        <f t="shared" si="14"/>
        <v>1</v>
      </c>
      <c r="R112" s="28">
        <f t="shared" ca="1" si="15"/>
        <v>1</v>
      </c>
      <c r="S112" s="23">
        <f t="shared" si="16"/>
        <v>0</v>
      </c>
      <c r="T112" s="23">
        <f t="shared" ca="1" si="17"/>
        <v>0</v>
      </c>
      <c r="U112" s="23">
        <f t="shared" si="18"/>
        <v>27405</v>
      </c>
      <c r="V112" s="33">
        <f t="shared" si="21"/>
        <v>45808</v>
      </c>
    </row>
    <row r="113" spans="1:22" ht="14.5" x14ac:dyDescent="0.35">
      <c r="A113" s="32" t="s">
        <v>238</v>
      </c>
      <c r="B113" s="30">
        <v>45784.333333333299</v>
      </c>
      <c r="C113" s="30">
        <v>45827.708333333299</v>
      </c>
      <c r="D113" s="30">
        <v>45784.333333333299</v>
      </c>
      <c r="E113" s="30">
        <v>45827.708333333299</v>
      </c>
      <c r="F113" s="21" t="s">
        <v>213</v>
      </c>
      <c r="G113" s="25">
        <v>1</v>
      </c>
      <c r="H113" s="14">
        <v>85</v>
      </c>
      <c r="I113" s="18"/>
      <c r="J113" s="27">
        <v>1</v>
      </c>
      <c r="K113" s="29">
        <f t="shared" si="19"/>
        <v>43.375</v>
      </c>
      <c r="L113" s="29">
        <f t="shared" si="20"/>
        <v>43.375</v>
      </c>
      <c r="M113" s="19">
        <f t="shared" si="11"/>
        <v>29495</v>
      </c>
      <c r="N113" s="18">
        <f t="shared" si="12"/>
        <v>29495</v>
      </c>
      <c r="O113" s="18">
        <f ca="1">IF(Table2[[#This Row],[BL Project Start]]&gt;$B$2, 0,M113)</f>
        <v>29495</v>
      </c>
      <c r="P113" s="18">
        <f t="shared" si="13"/>
        <v>29495</v>
      </c>
      <c r="Q113" s="14">
        <f t="shared" si="14"/>
        <v>1</v>
      </c>
      <c r="R113" s="28">
        <f t="shared" ca="1" si="15"/>
        <v>1</v>
      </c>
      <c r="S113" s="23">
        <f t="shared" si="16"/>
        <v>0</v>
      </c>
      <c r="T113" s="23">
        <f t="shared" ca="1" si="17"/>
        <v>0</v>
      </c>
      <c r="U113" s="23">
        <f t="shared" si="18"/>
        <v>29495</v>
      </c>
      <c r="V113" s="33">
        <f t="shared" si="21"/>
        <v>45838</v>
      </c>
    </row>
    <row r="114" spans="1:22" ht="14.5" x14ac:dyDescent="0.35">
      <c r="A114" s="32" t="s">
        <v>665</v>
      </c>
      <c r="B114" s="30">
        <v>45607.333333333299</v>
      </c>
      <c r="C114" s="30">
        <v>45623.708333333299</v>
      </c>
      <c r="D114" s="30">
        <v>45607.333333333299</v>
      </c>
      <c r="E114" s="30">
        <v>45623.708333333299</v>
      </c>
      <c r="F114" s="21" t="s">
        <v>194</v>
      </c>
      <c r="G114" s="25">
        <v>1</v>
      </c>
      <c r="H114" s="14">
        <v>120</v>
      </c>
      <c r="I114" s="18"/>
      <c r="J114" s="27">
        <v>1</v>
      </c>
      <c r="K114" s="29">
        <f t="shared" si="19"/>
        <v>16.375</v>
      </c>
      <c r="L114" s="29">
        <f t="shared" si="20"/>
        <v>16.375</v>
      </c>
      <c r="M114" s="19">
        <f t="shared" si="11"/>
        <v>15720</v>
      </c>
      <c r="N114" s="18">
        <f t="shared" si="12"/>
        <v>15720</v>
      </c>
      <c r="O114" s="18">
        <f ca="1">IF(Table2[[#This Row],[BL Project Start]]&gt;$B$2, 0,M114)</f>
        <v>15720</v>
      </c>
      <c r="P114" s="18">
        <f t="shared" si="13"/>
        <v>15720</v>
      </c>
      <c r="Q114" s="14">
        <f t="shared" si="14"/>
        <v>1</v>
      </c>
      <c r="R114" s="28">
        <f t="shared" ca="1" si="15"/>
        <v>1</v>
      </c>
      <c r="S114" s="23">
        <f t="shared" si="16"/>
        <v>0</v>
      </c>
      <c r="T114" s="23">
        <f t="shared" ca="1" si="17"/>
        <v>0</v>
      </c>
      <c r="U114" s="23">
        <f t="shared" si="18"/>
        <v>15720</v>
      </c>
      <c r="V114" s="33">
        <f t="shared" si="21"/>
        <v>45626</v>
      </c>
    </row>
    <row r="115" spans="1:22" ht="14.5" x14ac:dyDescent="0.35">
      <c r="A115" s="32" t="s">
        <v>242</v>
      </c>
      <c r="B115" s="30">
        <v>45624.333333333299</v>
      </c>
      <c r="C115" s="30" t="s">
        <v>5</v>
      </c>
      <c r="D115" s="30">
        <v>45624.333333333299</v>
      </c>
      <c r="E115" s="30" t="s">
        <v>5</v>
      </c>
      <c r="F115" s="21" t="s">
        <v>5</v>
      </c>
      <c r="G115" s="25">
        <v>1</v>
      </c>
      <c r="H115" s="14" t="s">
        <v>5</v>
      </c>
      <c r="I115" s="18"/>
      <c r="J115" s="27">
        <v>1</v>
      </c>
      <c r="K115" s="29">
        <f t="shared" si="19"/>
        <v>0</v>
      </c>
      <c r="L115" s="29">
        <f t="shared" si="20"/>
        <v>0</v>
      </c>
      <c r="M115" s="19">
        <f t="shared" si="11"/>
        <v>0</v>
      </c>
      <c r="N115" s="18">
        <f t="shared" si="12"/>
        <v>0</v>
      </c>
      <c r="O115" s="18">
        <f ca="1">IF(Table2[[#This Row],[BL Project Start]]&gt;$B$2, 0,M115)</f>
        <v>0</v>
      </c>
      <c r="P115" s="18">
        <f t="shared" si="13"/>
        <v>0</v>
      </c>
      <c r="Q115" s="14" t="str">
        <f t="shared" si="14"/>
        <v/>
      </c>
      <c r="R115" s="28" t="str">
        <f t="shared" ca="1" si="15"/>
        <v/>
      </c>
      <c r="S115" s="23">
        <f t="shared" si="16"/>
        <v>0</v>
      </c>
      <c r="T115" s="23">
        <f t="shared" ca="1" si="17"/>
        <v>0</v>
      </c>
      <c r="U115" s="23">
        <f t="shared" si="18"/>
        <v>0</v>
      </c>
      <c r="V115" s="33">
        <f t="shared" si="21"/>
        <v>45626</v>
      </c>
    </row>
    <row r="116" spans="1:22" ht="14.5" x14ac:dyDescent="0.35">
      <c r="A116" s="32" t="s">
        <v>472</v>
      </c>
      <c r="B116" s="30">
        <v>45624.333333333299</v>
      </c>
      <c r="C116" s="30">
        <v>45652.708333333299</v>
      </c>
      <c r="D116" s="30">
        <v>45624.333333333299</v>
      </c>
      <c r="E116" s="30">
        <v>45652.708333333299</v>
      </c>
      <c r="F116" s="21" t="s">
        <v>160</v>
      </c>
      <c r="G116" s="25">
        <v>1</v>
      </c>
      <c r="H116" s="14">
        <v>135</v>
      </c>
      <c r="I116" s="18"/>
      <c r="J116" s="27">
        <v>1</v>
      </c>
      <c r="K116" s="29">
        <f t="shared" si="19"/>
        <v>28.375</v>
      </c>
      <c r="L116" s="29">
        <f t="shared" si="20"/>
        <v>28.375</v>
      </c>
      <c r="M116" s="19">
        <f t="shared" si="11"/>
        <v>30645</v>
      </c>
      <c r="N116" s="18">
        <f t="shared" si="12"/>
        <v>30645</v>
      </c>
      <c r="O116" s="18">
        <f ca="1">IF(Table2[[#This Row],[BL Project Start]]&gt;$B$2, 0,M116)</f>
        <v>30645</v>
      </c>
      <c r="P116" s="18">
        <f t="shared" si="13"/>
        <v>30645</v>
      </c>
      <c r="Q116" s="14">
        <f t="shared" si="14"/>
        <v>1</v>
      </c>
      <c r="R116" s="28">
        <f t="shared" ca="1" si="15"/>
        <v>1</v>
      </c>
      <c r="S116" s="23">
        <f t="shared" si="16"/>
        <v>0</v>
      </c>
      <c r="T116" s="23">
        <f t="shared" ca="1" si="17"/>
        <v>0</v>
      </c>
      <c r="U116" s="23">
        <f t="shared" si="18"/>
        <v>30645</v>
      </c>
      <c r="V116" s="33">
        <f t="shared" si="21"/>
        <v>45657</v>
      </c>
    </row>
    <row r="117" spans="1:22" ht="14.5" x14ac:dyDescent="0.35">
      <c r="A117" s="32" t="s">
        <v>244</v>
      </c>
      <c r="B117" s="30">
        <v>45653.333333333299</v>
      </c>
      <c r="C117" s="30">
        <v>45705.708333333299</v>
      </c>
      <c r="D117" s="30">
        <v>45653.333333333299</v>
      </c>
      <c r="E117" s="30">
        <v>45705.708333333299</v>
      </c>
      <c r="F117" s="21" t="s">
        <v>245</v>
      </c>
      <c r="G117" s="25">
        <v>1</v>
      </c>
      <c r="H117" s="14" t="s">
        <v>5</v>
      </c>
      <c r="I117" s="18">
        <v>4500000</v>
      </c>
      <c r="J117" s="27">
        <v>1</v>
      </c>
      <c r="K117" s="29">
        <f t="shared" si="19"/>
        <v>52.375</v>
      </c>
      <c r="L117" s="29">
        <f t="shared" si="20"/>
        <v>52.375</v>
      </c>
      <c r="M117" s="19">
        <f t="shared" si="11"/>
        <v>4500000</v>
      </c>
      <c r="N117" s="18">
        <f t="shared" si="12"/>
        <v>4500000</v>
      </c>
      <c r="O117" s="18">
        <f ca="1">IF(Table2[[#This Row],[BL Project Start]]&gt;$B$2, 0,M117)</f>
        <v>4500000</v>
      </c>
      <c r="P117" s="18">
        <f t="shared" si="13"/>
        <v>4500000</v>
      </c>
      <c r="Q117" s="14">
        <f t="shared" si="14"/>
        <v>1</v>
      </c>
      <c r="R117" s="28">
        <f t="shared" ca="1" si="15"/>
        <v>1</v>
      </c>
      <c r="S117" s="23">
        <f t="shared" si="16"/>
        <v>0</v>
      </c>
      <c r="T117" s="23">
        <f t="shared" ca="1" si="17"/>
        <v>0</v>
      </c>
      <c r="U117" s="23">
        <f t="shared" si="18"/>
        <v>4500000</v>
      </c>
      <c r="V117" s="33">
        <f t="shared" si="21"/>
        <v>45716</v>
      </c>
    </row>
    <row r="118" spans="1:22" ht="14.5" x14ac:dyDescent="0.35">
      <c r="A118" s="32" t="s">
        <v>247</v>
      </c>
      <c r="B118" s="30">
        <v>45706.333333333299</v>
      </c>
      <c r="C118" s="30">
        <v>45712.708333333299</v>
      </c>
      <c r="D118" s="30">
        <v>45706.333333333299</v>
      </c>
      <c r="E118" s="30">
        <v>45712.708333333299</v>
      </c>
      <c r="F118" s="21" t="s">
        <v>213</v>
      </c>
      <c r="G118" s="25">
        <v>1</v>
      </c>
      <c r="H118" s="14">
        <v>85</v>
      </c>
      <c r="I118" s="18"/>
      <c r="J118" s="27">
        <v>1</v>
      </c>
      <c r="K118" s="29">
        <f t="shared" si="19"/>
        <v>6.375</v>
      </c>
      <c r="L118" s="29">
        <f t="shared" si="20"/>
        <v>6.375</v>
      </c>
      <c r="M118" s="19">
        <f t="shared" si="11"/>
        <v>4335</v>
      </c>
      <c r="N118" s="18">
        <f t="shared" si="12"/>
        <v>4335</v>
      </c>
      <c r="O118" s="18">
        <f ca="1">IF(Table2[[#This Row],[BL Project Start]]&gt;$B$2, 0,M118)</f>
        <v>4335</v>
      </c>
      <c r="P118" s="18">
        <f t="shared" si="13"/>
        <v>4335</v>
      </c>
      <c r="Q118" s="14">
        <f t="shared" si="14"/>
        <v>1</v>
      </c>
      <c r="R118" s="28">
        <f t="shared" ca="1" si="15"/>
        <v>1</v>
      </c>
      <c r="S118" s="23">
        <f t="shared" si="16"/>
        <v>0</v>
      </c>
      <c r="T118" s="23">
        <f t="shared" ca="1" si="17"/>
        <v>0</v>
      </c>
      <c r="U118" s="23">
        <f t="shared" si="18"/>
        <v>4335</v>
      </c>
      <c r="V118" s="33">
        <f t="shared" si="21"/>
        <v>45716</v>
      </c>
    </row>
    <row r="119" spans="1:22" ht="14.5" x14ac:dyDescent="0.35">
      <c r="A119" s="32" t="s">
        <v>249</v>
      </c>
      <c r="B119" s="30">
        <v>45624.333333333299</v>
      </c>
      <c r="C119" s="30">
        <v>45646.708333333299</v>
      </c>
      <c r="D119" s="30">
        <v>45624.333333333299</v>
      </c>
      <c r="E119" s="30">
        <v>45646.708333333299</v>
      </c>
      <c r="F119" s="21" t="s">
        <v>213</v>
      </c>
      <c r="G119" s="25">
        <v>1</v>
      </c>
      <c r="H119" s="14">
        <v>85</v>
      </c>
      <c r="I119" s="18"/>
      <c r="J119" s="27">
        <v>1</v>
      </c>
      <c r="K119" s="29">
        <f t="shared" si="19"/>
        <v>22.375</v>
      </c>
      <c r="L119" s="29">
        <f t="shared" si="20"/>
        <v>22.375</v>
      </c>
      <c r="M119" s="19">
        <f t="shared" si="11"/>
        <v>15215</v>
      </c>
      <c r="N119" s="18">
        <f t="shared" si="12"/>
        <v>15215</v>
      </c>
      <c r="O119" s="18">
        <f ca="1">IF(Table2[[#This Row],[BL Project Start]]&gt;$B$2, 0,M119)</f>
        <v>15215</v>
      </c>
      <c r="P119" s="18">
        <f t="shared" si="13"/>
        <v>15215</v>
      </c>
      <c r="Q119" s="14">
        <f t="shared" si="14"/>
        <v>1</v>
      </c>
      <c r="R119" s="28">
        <f t="shared" ca="1" si="15"/>
        <v>1</v>
      </c>
      <c r="S119" s="23">
        <f t="shared" si="16"/>
        <v>0</v>
      </c>
      <c r="T119" s="23">
        <f t="shared" ca="1" si="17"/>
        <v>0</v>
      </c>
      <c r="U119" s="23">
        <f t="shared" si="18"/>
        <v>15215</v>
      </c>
      <c r="V119" s="33">
        <f t="shared" si="21"/>
        <v>45657</v>
      </c>
    </row>
    <row r="120" spans="1:22" ht="14.5" x14ac:dyDescent="0.35">
      <c r="A120" s="32" t="s">
        <v>251</v>
      </c>
      <c r="B120" s="30">
        <v>45814.333333333299</v>
      </c>
      <c r="C120" s="30">
        <v>45833.708333333299</v>
      </c>
      <c r="D120" s="30">
        <v>45814.333333333299</v>
      </c>
      <c r="E120" s="30">
        <v>45833.708333333299</v>
      </c>
      <c r="F120" s="21" t="s">
        <v>252</v>
      </c>
      <c r="G120" s="25">
        <v>1</v>
      </c>
      <c r="H120" s="14">
        <v>85</v>
      </c>
      <c r="I120" s="18"/>
      <c r="J120" s="27">
        <v>1</v>
      </c>
      <c r="K120" s="29">
        <f t="shared" si="19"/>
        <v>19.375</v>
      </c>
      <c r="L120" s="29">
        <f t="shared" si="20"/>
        <v>19.375</v>
      </c>
      <c r="M120" s="19">
        <f t="shared" si="11"/>
        <v>13175</v>
      </c>
      <c r="N120" s="18">
        <f t="shared" si="12"/>
        <v>13175</v>
      </c>
      <c r="O120" s="18">
        <f ca="1">IF(Table2[[#This Row],[BL Project Start]]&gt;$B$2, 0,M120)</f>
        <v>13175</v>
      </c>
      <c r="P120" s="18">
        <f t="shared" si="13"/>
        <v>13175</v>
      </c>
      <c r="Q120" s="14">
        <f t="shared" si="14"/>
        <v>1</v>
      </c>
      <c r="R120" s="28">
        <f t="shared" ca="1" si="15"/>
        <v>1</v>
      </c>
      <c r="S120" s="23">
        <f t="shared" si="16"/>
        <v>0</v>
      </c>
      <c r="T120" s="23">
        <f t="shared" ca="1" si="17"/>
        <v>0</v>
      </c>
      <c r="U120" s="23">
        <f t="shared" si="18"/>
        <v>13175</v>
      </c>
      <c r="V120" s="33">
        <f t="shared" si="21"/>
        <v>45838</v>
      </c>
    </row>
    <row r="121" spans="1:22" ht="14.5" x14ac:dyDescent="0.35">
      <c r="A121" s="32" t="s">
        <v>254</v>
      </c>
      <c r="B121" s="30">
        <v>45834.333333333299</v>
      </c>
      <c r="C121" s="30" t="s">
        <v>5</v>
      </c>
      <c r="D121" s="30">
        <v>45834.333333333299</v>
      </c>
      <c r="E121" s="30" t="s">
        <v>5</v>
      </c>
      <c r="F121" s="21" t="s">
        <v>5</v>
      </c>
      <c r="G121" s="25">
        <v>1</v>
      </c>
      <c r="H121" s="14" t="s">
        <v>5</v>
      </c>
      <c r="I121" s="18"/>
      <c r="J121" s="27">
        <v>1</v>
      </c>
      <c r="K121" s="29">
        <f t="shared" si="19"/>
        <v>0</v>
      </c>
      <c r="L121" s="29">
        <f t="shared" si="20"/>
        <v>0</v>
      </c>
      <c r="M121" s="19">
        <f t="shared" si="11"/>
        <v>0</v>
      </c>
      <c r="N121" s="18">
        <f t="shared" si="12"/>
        <v>0</v>
      </c>
      <c r="O121" s="18">
        <f ca="1">IF(Table2[[#This Row],[BL Project Start]]&gt;$B$2, 0,M121)</f>
        <v>0</v>
      </c>
      <c r="P121" s="18">
        <f t="shared" si="13"/>
        <v>0</v>
      </c>
      <c r="Q121" s="14" t="str">
        <f t="shared" si="14"/>
        <v/>
      </c>
      <c r="R121" s="28" t="str">
        <f t="shared" ca="1" si="15"/>
        <v/>
      </c>
      <c r="S121" s="23">
        <f t="shared" si="16"/>
        <v>0</v>
      </c>
      <c r="T121" s="23">
        <f t="shared" ca="1" si="17"/>
        <v>0</v>
      </c>
      <c r="U121" s="23">
        <f t="shared" si="18"/>
        <v>0</v>
      </c>
      <c r="V121" s="33">
        <f t="shared" si="21"/>
        <v>45838</v>
      </c>
    </row>
    <row r="122" spans="1:22" ht="14.5" x14ac:dyDescent="0.35">
      <c r="A122" s="32" t="s">
        <v>256</v>
      </c>
      <c r="B122" s="30">
        <v>45814.333333333299</v>
      </c>
      <c r="C122" s="30">
        <v>45839.708333333299</v>
      </c>
      <c r="D122" s="30">
        <v>45814.333333333299</v>
      </c>
      <c r="E122" s="30">
        <v>45839.708333333299</v>
      </c>
      <c r="F122" s="21" t="s">
        <v>252</v>
      </c>
      <c r="G122" s="25">
        <v>1</v>
      </c>
      <c r="H122" s="14">
        <v>85</v>
      </c>
      <c r="I122" s="18"/>
      <c r="J122" s="27">
        <v>1</v>
      </c>
      <c r="K122" s="29">
        <f t="shared" si="19"/>
        <v>25.375</v>
      </c>
      <c r="L122" s="29">
        <f t="shared" si="20"/>
        <v>25.375</v>
      </c>
      <c r="M122" s="19">
        <f t="shared" si="11"/>
        <v>17255</v>
      </c>
      <c r="N122" s="18">
        <f t="shared" si="12"/>
        <v>17255</v>
      </c>
      <c r="O122" s="18">
        <f ca="1">IF(Table2[[#This Row],[BL Project Start]]&gt;$B$2, 0,M122)</f>
        <v>17255</v>
      </c>
      <c r="P122" s="18">
        <f t="shared" si="13"/>
        <v>17255</v>
      </c>
      <c r="Q122" s="14">
        <f t="shared" si="14"/>
        <v>1</v>
      </c>
      <c r="R122" s="28">
        <f t="shared" ca="1" si="15"/>
        <v>1</v>
      </c>
      <c r="S122" s="23">
        <f t="shared" si="16"/>
        <v>0</v>
      </c>
      <c r="T122" s="23">
        <f t="shared" ca="1" si="17"/>
        <v>0</v>
      </c>
      <c r="U122" s="23">
        <f t="shared" si="18"/>
        <v>17255</v>
      </c>
      <c r="V122" s="33">
        <f t="shared" si="21"/>
        <v>45869</v>
      </c>
    </row>
    <row r="123" spans="1:22" ht="14.5" x14ac:dyDescent="0.35">
      <c r="A123" s="32" t="s">
        <v>258</v>
      </c>
      <c r="B123" s="30">
        <v>45840.333333333299</v>
      </c>
      <c r="C123" s="30" t="s">
        <v>5</v>
      </c>
      <c r="D123" s="30">
        <v>45840.333333333299</v>
      </c>
      <c r="E123" s="30" t="s">
        <v>5</v>
      </c>
      <c r="F123" s="21" t="s">
        <v>5</v>
      </c>
      <c r="G123" s="25">
        <v>1</v>
      </c>
      <c r="H123" s="14" t="s">
        <v>5</v>
      </c>
      <c r="I123" s="18"/>
      <c r="J123" s="27">
        <v>1</v>
      </c>
      <c r="K123" s="29">
        <f t="shared" si="19"/>
        <v>0</v>
      </c>
      <c r="L123" s="29">
        <f t="shared" si="20"/>
        <v>0</v>
      </c>
      <c r="M123" s="19">
        <f t="shared" si="11"/>
        <v>0</v>
      </c>
      <c r="N123" s="18">
        <f t="shared" si="12"/>
        <v>0</v>
      </c>
      <c r="O123" s="18">
        <f ca="1">IF(Table2[[#This Row],[BL Project Start]]&gt;$B$2, 0,M123)</f>
        <v>0</v>
      </c>
      <c r="P123" s="18">
        <f t="shared" si="13"/>
        <v>0</v>
      </c>
      <c r="Q123" s="14" t="str">
        <f t="shared" si="14"/>
        <v/>
      </c>
      <c r="R123" s="28" t="str">
        <f t="shared" ca="1" si="15"/>
        <v/>
      </c>
      <c r="S123" s="23">
        <f t="shared" si="16"/>
        <v>0</v>
      </c>
      <c r="T123" s="23">
        <f t="shared" ca="1" si="17"/>
        <v>0</v>
      </c>
      <c r="U123" s="23">
        <f t="shared" si="18"/>
        <v>0</v>
      </c>
      <c r="V123" s="33">
        <f t="shared" si="21"/>
        <v>45869</v>
      </c>
    </row>
    <row r="124" spans="1:22" ht="14.5" x14ac:dyDescent="0.35">
      <c r="A124" s="32" t="s">
        <v>260</v>
      </c>
      <c r="B124" s="30">
        <v>45814.333333333299</v>
      </c>
      <c r="C124" s="30">
        <v>45834.708333333299</v>
      </c>
      <c r="D124" s="30">
        <v>45814.333333333299</v>
      </c>
      <c r="E124" s="30">
        <v>45834.708333333299</v>
      </c>
      <c r="F124" s="21" t="s">
        <v>252</v>
      </c>
      <c r="G124" s="25">
        <v>1</v>
      </c>
      <c r="H124" s="14">
        <v>85</v>
      </c>
      <c r="I124" s="18"/>
      <c r="J124" s="27">
        <v>1</v>
      </c>
      <c r="K124" s="29">
        <f t="shared" si="19"/>
        <v>20.375</v>
      </c>
      <c r="L124" s="29">
        <f t="shared" si="20"/>
        <v>20.375</v>
      </c>
      <c r="M124" s="19">
        <f t="shared" si="11"/>
        <v>13855</v>
      </c>
      <c r="N124" s="18">
        <f t="shared" si="12"/>
        <v>13855</v>
      </c>
      <c r="O124" s="18">
        <f ca="1">IF(Table2[[#This Row],[BL Project Start]]&gt;$B$2, 0,M124)</f>
        <v>13855</v>
      </c>
      <c r="P124" s="18">
        <f t="shared" si="13"/>
        <v>13855</v>
      </c>
      <c r="Q124" s="14">
        <f t="shared" si="14"/>
        <v>1</v>
      </c>
      <c r="R124" s="28">
        <f t="shared" ca="1" si="15"/>
        <v>1</v>
      </c>
      <c r="S124" s="23">
        <f t="shared" si="16"/>
        <v>0</v>
      </c>
      <c r="T124" s="23">
        <f t="shared" ca="1" si="17"/>
        <v>0</v>
      </c>
      <c r="U124" s="23">
        <f t="shared" si="18"/>
        <v>13855</v>
      </c>
      <c r="V124" s="33">
        <f t="shared" si="21"/>
        <v>45838</v>
      </c>
    </row>
    <row r="125" spans="1:22" ht="14.5" x14ac:dyDescent="0.35">
      <c r="A125" s="32" t="s">
        <v>262</v>
      </c>
      <c r="B125" s="30">
        <v>45835.333333333299</v>
      </c>
      <c r="C125" s="30">
        <v>45835.708333333299</v>
      </c>
      <c r="D125" s="30">
        <v>45835.333333333299</v>
      </c>
      <c r="E125" s="30" t="s">
        <v>5</v>
      </c>
      <c r="F125" s="21" t="s">
        <v>252</v>
      </c>
      <c r="G125" s="25">
        <v>0</v>
      </c>
      <c r="H125" s="14">
        <v>85</v>
      </c>
      <c r="I125" s="18"/>
      <c r="J125" s="27">
        <v>1</v>
      </c>
      <c r="K125" s="29">
        <f t="shared" si="19"/>
        <v>0.375</v>
      </c>
      <c r="L125" s="29">
        <f t="shared" si="20"/>
        <v>0</v>
      </c>
      <c r="M125" s="19">
        <f t="shared" si="11"/>
        <v>255</v>
      </c>
      <c r="N125" s="18">
        <f t="shared" si="12"/>
        <v>0</v>
      </c>
      <c r="O125" s="18">
        <f ca="1">IF(Table2[[#This Row],[BL Project Start]]&gt;$B$2, 0,M125)</f>
        <v>255</v>
      </c>
      <c r="P125" s="18">
        <f t="shared" si="13"/>
        <v>0</v>
      </c>
      <c r="Q125" s="14" t="str">
        <f t="shared" si="14"/>
        <v/>
      </c>
      <c r="R125" s="28">
        <f t="shared" ca="1" si="15"/>
        <v>0</v>
      </c>
      <c r="S125" s="23">
        <f t="shared" si="16"/>
        <v>0</v>
      </c>
      <c r="T125" s="23">
        <f t="shared" ca="1" si="17"/>
        <v>-255</v>
      </c>
      <c r="U125" s="23">
        <f t="shared" si="18"/>
        <v>255</v>
      </c>
      <c r="V125" s="33">
        <f t="shared" si="21"/>
        <v>45838</v>
      </c>
    </row>
    <row r="126" spans="1:22" ht="14.5" x14ac:dyDescent="0.35">
      <c r="A126" s="32" t="s">
        <v>264</v>
      </c>
      <c r="B126" s="30">
        <v>45814.333333333299</v>
      </c>
      <c r="C126" s="30">
        <v>45832.708333333299</v>
      </c>
      <c r="D126" s="30">
        <v>45814.333333333299</v>
      </c>
      <c r="E126" s="30">
        <v>45832.708333333299</v>
      </c>
      <c r="F126" s="21" t="s">
        <v>252</v>
      </c>
      <c r="G126" s="25">
        <v>1</v>
      </c>
      <c r="H126" s="14">
        <v>85</v>
      </c>
      <c r="I126" s="18"/>
      <c r="J126" s="27">
        <v>1</v>
      </c>
      <c r="K126" s="29">
        <f t="shared" si="19"/>
        <v>18.375</v>
      </c>
      <c r="L126" s="29">
        <f t="shared" si="20"/>
        <v>18.375</v>
      </c>
      <c r="M126" s="19">
        <f t="shared" si="11"/>
        <v>12495</v>
      </c>
      <c r="N126" s="18">
        <f t="shared" si="12"/>
        <v>12495</v>
      </c>
      <c r="O126" s="18">
        <f ca="1">IF(Table2[[#This Row],[BL Project Start]]&gt;$B$2, 0,M126)</f>
        <v>12495</v>
      </c>
      <c r="P126" s="18">
        <f t="shared" si="13"/>
        <v>12495</v>
      </c>
      <c r="Q126" s="14">
        <f t="shared" si="14"/>
        <v>1</v>
      </c>
      <c r="R126" s="28">
        <f t="shared" ca="1" si="15"/>
        <v>1</v>
      </c>
      <c r="S126" s="23">
        <f t="shared" si="16"/>
        <v>0</v>
      </c>
      <c r="T126" s="23">
        <f t="shared" ca="1" si="17"/>
        <v>0</v>
      </c>
      <c r="U126" s="23">
        <f t="shared" si="18"/>
        <v>12495</v>
      </c>
      <c r="V126" s="33">
        <f t="shared" si="21"/>
        <v>45838</v>
      </c>
    </row>
    <row r="127" spans="1:22" ht="14.5" x14ac:dyDescent="0.35">
      <c r="A127" s="32" t="s">
        <v>266</v>
      </c>
      <c r="B127" s="30">
        <v>45833.333333333299</v>
      </c>
      <c r="C127" s="30" t="s">
        <v>5</v>
      </c>
      <c r="D127" s="30">
        <v>45833.333333333299</v>
      </c>
      <c r="E127" s="30" t="s">
        <v>5</v>
      </c>
      <c r="F127" s="21" t="s">
        <v>5</v>
      </c>
      <c r="G127" s="25">
        <v>1</v>
      </c>
      <c r="H127" s="14" t="s">
        <v>5</v>
      </c>
      <c r="I127" s="18"/>
      <c r="J127" s="27">
        <v>1</v>
      </c>
      <c r="K127" s="29">
        <f t="shared" si="19"/>
        <v>0</v>
      </c>
      <c r="L127" s="29">
        <f t="shared" si="20"/>
        <v>0</v>
      </c>
      <c r="M127" s="19">
        <f t="shared" si="11"/>
        <v>0</v>
      </c>
      <c r="N127" s="18">
        <f t="shared" si="12"/>
        <v>0</v>
      </c>
      <c r="O127" s="18">
        <f ca="1">IF(Table2[[#This Row],[BL Project Start]]&gt;$B$2, 0,M127)</f>
        <v>0</v>
      </c>
      <c r="P127" s="18">
        <f t="shared" si="13"/>
        <v>0</v>
      </c>
      <c r="Q127" s="14" t="str">
        <f t="shared" si="14"/>
        <v/>
      </c>
      <c r="R127" s="28" t="str">
        <f t="shared" ca="1" si="15"/>
        <v/>
      </c>
      <c r="S127" s="23">
        <f t="shared" si="16"/>
        <v>0</v>
      </c>
      <c r="T127" s="23">
        <f t="shared" ca="1" si="17"/>
        <v>0</v>
      </c>
      <c r="U127" s="23">
        <f t="shared" si="18"/>
        <v>0</v>
      </c>
      <c r="V127" s="33">
        <f t="shared" si="21"/>
        <v>45838</v>
      </c>
    </row>
    <row r="128" spans="1:22" ht="14.5" x14ac:dyDescent="0.35">
      <c r="A128" s="32" t="s">
        <v>268</v>
      </c>
      <c r="B128" s="30">
        <v>45834.333333333299</v>
      </c>
      <c r="C128" s="30">
        <v>45848.708333333299</v>
      </c>
      <c r="D128" s="30">
        <v>45834.333333333299</v>
      </c>
      <c r="E128" s="30">
        <v>45855.708333333299</v>
      </c>
      <c r="F128" s="21" t="s">
        <v>269</v>
      </c>
      <c r="G128" s="25">
        <v>1</v>
      </c>
      <c r="H128" s="14">
        <v>120</v>
      </c>
      <c r="I128" s="18"/>
      <c r="J128" s="27">
        <v>1</v>
      </c>
      <c r="K128" s="29">
        <f t="shared" si="19"/>
        <v>14.375</v>
      </c>
      <c r="L128" s="29">
        <f t="shared" si="20"/>
        <v>21.375</v>
      </c>
      <c r="M128" s="19">
        <f t="shared" si="11"/>
        <v>13800</v>
      </c>
      <c r="N128" s="18">
        <f t="shared" si="12"/>
        <v>20520</v>
      </c>
      <c r="O128" s="18">
        <f ca="1">IF(Table2[[#This Row],[BL Project Start]]&gt;$B$2, 0,M128)</f>
        <v>13800</v>
      </c>
      <c r="P128" s="18">
        <f t="shared" si="13"/>
        <v>13800</v>
      </c>
      <c r="Q128" s="14">
        <f t="shared" si="14"/>
        <v>0.67251461988304095</v>
      </c>
      <c r="R128" s="28">
        <f t="shared" ca="1" si="15"/>
        <v>1</v>
      </c>
      <c r="S128" s="23">
        <f t="shared" si="16"/>
        <v>-6720</v>
      </c>
      <c r="T128" s="23">
        <f t="shared" ca="1" si="17"/>
        <v>0</v>
      </c>
      <c r="U128" s="23">
        <f t="shared" si="18"/>
        <v>20520</v>
      </c>
      <c r="V128" s="33">
        <f t="shared" si="21"/>
        <v>45869</v>
      </c>
    </row>
    <row r="129" spans="1:22" ht="14.5" x14ac:dyDescent="0.35">
      <c r="A129" s="32" t="s">
        <v>271</v>
      </c>
      <c r="B129" s="30">
        <v>45849.333333333299</v>
      </c>
      <c r="C129" s="30">
        <v>45860.708333333299</v>
      </c>
      <c r="D129" s="30">
        <v>45849.333333333299</v>
      </c>
      <c r="E129" s="30">
        <v>45862.708333333299</v>
      </c>
      <c r="F129" s="21" t="s">
        <v>269</v>
      </c>
      <c r="G129" s="25">
        <v>1</v>
      </c>
      <c r="H129" s="14">
        <v>120</v>
      </c>
      <c r="I129" s="18"/>
      <c r="J129" s="27">
        <v>1</v>
      </c>
      <c r="K129" s="29">
        <f t="shared" si="19"/>
        <v>11.375</v>
      </c>
      <c r="L129" s="29">
        <f t="shared" si="20"/>
        <v>13.375</v>
      </c>
      <c r="M129" s="19">
        <f t="shared" si="11"/>
        <v>10920</v>
      </c>
      <c r="N129" s="18">
        <f t="shared" si="12"/>
        <v>12840</v>
      </c>
      <c r="O129" s="18">
        <f ca="1">IF(Table2[[#This Row],[BL Project Start]]&gt;$B$2, 0,M129)</f>
        <v>10920</v>
      </c>
      <c r="P129" s="18">
        <f t="shared" si="13"/>
        <v>10920</v>
      </c>
      <c r="Q129" s="14">
        <f t="shared" si="14"/>
        <v>0.85046728971962615</v>
      </c>
      <c r="R129" s="28">
        <f t="shared" ca="1" si="15"/>
        <v>1</v>
      </c>
      <c r="S129" s="23">
        <f t="shared" si="16"/>
        <v>-1920</v>
      </c>
      <c r="T129" s="23">
        <f t="shared" ca="1" si="17"/>
        <v>0</v>
      </c>
      <c r="U129" s="23">
        <f t="shared" si="18"/>
        <v>12840</v>
      </c>
      <c r="V129" s="33">
        <f t="shared" si="21"/>
        <v>45869</v>
      </c>
    </row>
    <row r="130" spans="1:22" ht="14.5" x14ac:dyDescent="0.35">
      <c r="A130" s="32" t="s">
        <v>666</v>
      </c>
      <c r="B130" s="30">
        <v>45849.333333333299</v>
      </c>
      <c r="C130" s="30">
        <v>45853.708333333299</v>
      </c>
      <c r="D130" s="30">
        <v>45849.333333333299</v>
      </c>
      <c r="E130" s="30">
        <v>45856.708333333299</v>
      </c>
      <c r="F130" s="21" t="s">
        <v>269</v>
      </c>
      <c r="G130" s="25">
        <v>1</v>
      </c>
      <c r="H130" s="14">
        <v>120</v>
      </c>
      <c r="I130" s="18"/>
      <c r="J130" s="27">
        <v>1</v>
      </c>
      <c r="K130" s="29">
        <f t="shared" si="19"/>
        <v>4.375</v>
      </c>
      <c r="L130" s="29">
        <f t="shared" si="20"/>
        <v>7.375</v>
      </c>
      <c r="M130" s="19">
        <f t="shared" si="11"/>
        <v>4200</v>
      </c>
      <c r="N130" s="18">
        <f t="shared" si="12"/>
        <v>7080</v>
      </c>
      <c r="O130" s="18">
        <f ca="1">IF(Table2[[#This Row],[BL Project Start]]&gt;$B$2, 0,M130)</f>
        <v>4200</v>
      </c>
      <c r="P130" s="18">
        <f t="shared" si="13"/>
        <v>4200</v>
      </c>
      <c r="Q130" s="14">
        <f t="shared" si="14"/>
        <v>0.59322033898305082</v>
      </c>
      <c r="R130" s="28">
        <f t="shared" ca="1" si="15"/>
        <v>1</v>
      </c>
      <c r="S130" s="23">
        <f t="shared" si="16"/>
        <v>-2880</v>
      </c>
      <c r="T130" s="23">
        <f t="shared" ca="1" si="17"/>
        <v>0</v>
      </c>
      <c r="U130" s="23">
        <f t="shared" si="18"/>
        <v>7080</v>
      </c>
      <c r="V130" s="33">
        <f t="shared" si="21"/>
        <v>45869</v>
      </c>
    </row>
    <row r="131" spans="1:22" ht="14.5" x14ac:dyDescent="0.35">
      <c r="A131" s="32" t="s">
        <v>275</v>
      </c>
      <c r="B131" s="30">
        <v>45854.333333333299</v>
      </c>
      <c r="C131" s="30">
        <v>45860.708333333299</v>
      </c>
      <c r="D131" s="30">
        <v>45856.333333333299</v>
      </c>
      <c r="E131" s="30">
        <v>45866.708333333299</v>
      </c>
      <c r="F131" s="21" t="s">
        <v>269</v>
      </c>
      <c r="G131" s="25">
        <v>1</v>
      </c>
      <c r="H131" s="14">
        <v>120</v>
      </c>
      <c r="I131" s="18"/>
      <c r="J131" s="27">
        <v>1</v>
      </c>
      <c r="K131" s="29">
        <f t="shared" si="19"/>
        <v>6.375</v>
      </c>
      <c r="L131" s="29">
        <f t="shared" si="20"/>
        <v>10.375</v>
      </c>
      <c r="M131" s="19">
        <f t="shared" si="11"/>
        <v>6120</v>
      </c>
      <c r="N131" s="18">
        <f t="shared" si="12"/>
        <v>9960</v>
      </c>
      <c r="O131" s="18">
        <f ca="1">IF(Table2[[#This Row],[BL Project Start]]&gt;$B$2, 0,M131)</f>
        <v>6120</v>
      </c>
      <c r="P131" s="18">
        <f t="shared" si="13"/>
        <v>6120</v>
      </c>
      <c r="Q131" s="14">
        <f t="shared" si="14"/>
        <v>0.61445783132530118</v>
      </c>
      <c r="R131" s="28">
        <f t="shared" ca="1" si="15"/>
        <v>1</v>
      </c>
      <c r="S131" s="23">
        <f t="shared" si="16"/>
        <v>-3840</v>
      </c>
      <c r="T131" s="23">
        <f t="shared" ca="1" si="17"/>
        <v>0</v>
      </c>
      <c r="U131" s="23">
        <f t="shared" si="18"/>
        <v>9960</v>
      </c>
      <c r="V131" s="33">
        <f t="shared" si="21"/>
        <v>45869</v>
      </c>
    </row>
    <row r="132" spans="1:22" ht="14.5" x14ac:dyDescent="0.35">
      <c r="A132" s="32" t="s">
        <v>277</v>
      </c>
      <c r="B132" s="30">
        <v>45861.333333333299</v>
      </c>
      <c r="C132" s="30">
        <v>45876.708333333299</v>
      </c>
      <c r="D132" s="30">
        <v>45866.333333333299</v>
      </c>
      <c r="E132" s="30">
        <v>45890.708333333299</v>
      </c>
      <c r="F132" s="21" t="s">
        <v>278</v>
      </c>
      <c r="G132" s="25">
        <v>1</v>
      </c>
      <c r="H132" s="14">
        <v>135</v>
      </c>
      <c r="I132" s="18"/>
      <c r="J132" s="27">
        <v>3</v>
      </c>
      <c r="K132" s="29">
        <f t="shared" si="19"/>
        <v>15.375</v>
      </c>
      <c r="L132" s="29">
        <f t="shared" si="20"/>
        <v>24.375</v>
      </c>
      <c r="M132" s="19">
        <f t="shared" si="11"/>
        <v>49815</v>
      </c>
      <c r="N132" s="18">
        <f t="shared" si="12"/>
        <v>78975</v>
      </c>
      <c r="O132" s="18">
        <f ca="1">IF(Table2[[#This Row],[BL Project Start]]&gt;$B$2, 0,M132)</f>
        <v>49815</v>
      </c>
      <c r="P132" s="18">
        <f t="shared" si="13"/>
        <v>49815</v>
      </c>
      <c r="Q132" s="14">
        <f t="shared" si="14"/>
        <v>0.63076923076923075</v>
      </c>
      <c r="R132" s="28">
        <f t="shared" ca="1" si="15"/>
        <v>1</v>
      </c>
      <c r="S132" s="23">
        <f t="shared" si="16"/>
        <v>-29160</v>
      </c>
      <c r="T132" s="23">
        <f t="shared" ca="1" si="17"/>
        <v>0</v>
      </c>
      <c r="U132" s="23">
        <f t="shared" si="18"/>
        <v>78975</v>
      </c>
      <c r="V132" s="33">
        <f t="shared" si="21"/>
        <v>45900</v>
      </c>
    </row>
    <row r="133" spans="1:22" ht="14.5" x14ac:dyDescent="0.35">
      <c r="A133" s="32" t="s">
        <v>280</v>
      </c>
      <c r="B133" s="30">
        <v>45877.333333333299</v>
      </c>
      <c r="C133" s="30">
        <v>45908.708333333299</v>
      </c>
      <c r="D133" s="30">
        <v>45890.333333333299</v>
      </c>
      <c r="E133" s="30">
        <v>45919.708333333299</v>
      </c>
      <c r="F133" s="21" t="s">
        <v>278</v>
      </c>
      <c r="G133" s="25">
        <v>1</v>
      </c>
      <c r="H133" s="14">
        <v>135</v>
      </c>
      <c r="I133" s="18"/>
      <c r="J133" s="27">
        <v>3</v>
      </c>
      <c r="K133" s="29">
        <f t="shared" si="19"/>
        <v>31.375</v>
      </c>
      <c r="L133" s="29">
        <f t="shared" si="20"/>
        <v>29.375</v>
      </c>
      <c r="M133" s="19">
        <f t="shared" ref="M133:M196" si="22">IFERROR(H133*$B$3*K133*J133, 0)+I133</f>
        <v>101655</v>
      </c>
      <c r="N133" s="18">
        <f t="shared" ref="N133:N196" si="23">IFERROR(H133*$B$3*L133*J133, 0)+I133</f>
        <v>95175</v>
      </c>
      <c r="O133" s="18">
        <f ca="1">IF(Table2[[#This Row],[BL Project Start]]&gt;$B$2, 0,M133)</f>
        <v>101655</v>
      </c>
      <c r="P133" s="18">
        <f t="shared" ref="P133:P196" si="24">M133*G133</f>
        <v>101655</v>
      </c>
      <c r="Q133" s="14">
        <f t="shared" ref="Q133:Q196" si="25">IFERROR(P133/N133, "")</f>
        <v>1.0680851063829788</v>
      </c>
      <c r="R133" s="28">
        <f t="shared" ref="R133:R196" ca="1" si="26">IFERROR(P133/O133, "")</f>
        <v>1</v>
      </c>
      <c r="S133" s="23">
        <f t="shared" ref="S133:S196" si="27">P133-N133</f>
        <v>6480</v>
      </c>
      <c r="T133" s="23">
        <f t="shared" ref="T133:T196" ca="1" si="28">P133-O133</f>
        <v>0</v>
      </c>
      <c r="U133" s="23">
        <f t="shared" ref="U133:U196" si="29">N133+(M133-P133)</f>
        <v>95175</v>
      </c>
      <c r="V133" s="33">
        <f t="shared" si="21"/>
        <v>45930</v>
      </c>
    </row>
    <row r="134" spans="1:22" ht="14.5" x14ac:dyDescent="0.35">
      <c r="A134" s="32" t="s">
        <v>282</v>
      </c>
      <c r="B134" s="30">
        <v>45877.333333333299</v>
      </c>
      <c r="C134" s="30">
        <v>45895.708333333299</v>
      </c>
      <c r="D134" s="30">
        <v>45919.333333333299</v>
      </c>
      <c r="E134" s="30">
        <v>45937.708333333299</v>
      </c>
      <c r="F134" s="21" t="s">
        <v>278</v>
      </c>
      <c r="G134" s="25">
        <v>1</v>
      </c>
      <c r="H134" s="14">
        <v>135</v>
      </c>
      <c r="I134" s="18"/>
      <c r="J134" s="27">
        <v>3</v>
      </c>
      <c r="K134" s="29">
        <f t="shared" ref="K134:K197" si="30">IFERROR(C134-B134, 0)</f>
        <v>18.375</v>
      </c>
      <c r="L134" s="29">
        <f t="shared" ref="L134:L197" si="31">IFERROR(E134-D134, 0)</f>
        <v>18.375</v>
      </c>
      <c r="M134" s="19">
        <f t="shared" si="22"/>
        <v>59535</v>
      </c>
      <c r="N134" s="18">
        <f t="shared" si="23"/>
        <v>59535</v>
      </c>
      <c r="O134" s="18">
        <f ca="1">IF(Table2[[#This Row],[BL Project Start]]&gt;$B$2, 0,M134)</f>
        <v>59535</v>
      </c>
      <c r="P134" s="18">
        <f t="shared" si="24"/>
        <v>59535</v>
      </c>
      <c r="Q134" s="14">
        <f t="shared" si="25"/>
        <v>1</v>
      </c>
      <c r="R134" s="28">
        <f t="shared" ca="1" si="26"/>
        <v>1</v>
      </c>
      <c r="S134" s="23">
        <f t="shared" si="27"/>
        <v>0</v>
      </c>
      <c r="T134" s="23">
        <f t="shared" ca="1" si="28"/>
        <v>0</v>
      </c>
      <c r="U134" s="23">
        <f t="shared" si="29"/>
        <v>59535</v>
      </c>
      <c r="V134" s="33">
        <f t="shared" ref="V134:V197" si="32">EOMONTH(IF($C134="",$B134,$C134),0)</f>
        <v>45900</v>
      </c>
    </row>
    <row r="135" spans="1:22" ht="14.5" x14ac:dyDescent="0.35">
      <c r="A135" s="32" t="s">
        <v>284</v>
      </c>
      <c r="B135" s="30">
        <v>45896.333333333299</v>
      </c>
      <c r="C135" s="30">
        <v>45901.708333333299</v>
      </c>
      <c r="D135" s="30">
        <v>45937.333333333299</v>
      </c>
      <c r="E135" s="30">
        <v>45947.333333333299</v>
      </c>
      <c r="F135" s="21" t="s">
        <v>278</v>
      </c>
      <c r="G135" s="25">
        <v>1</v>
      </c>
      <c r="H135" s="14">
        <v>135</v>
      </c>
      <c r="I135" s="18"/>
      <c r="J135" s="27">
        <v>4</v>
      </c>
      <c r="K135" s="29">
        <f t="shared" si="30"/>
        <v>5.375</v>
      </c>
      <c r="L135" s="29">
        <f t="shared" si="31"/>
        <v>10</v>
      </c>
      <c r="M135" s="19">
        <f t="shared" si="22"/>
        <v>23220</v>
      </c>
      <c r="N135" s="18">
        <f t="shared" si="23"/>
        <v>43200</v>
      </c>
      <c r="O135" s="18">
        <f ca="1">IF(Table2[[#This Row],[BL Project Start]]&gt;$B$2, 0,M135)</f>
        <v>23220</v>
      </c>
      <c r="P135" s="18">
        <f t="shared" si="24"/>
        <v>23220</v>
      </c>
      <c r="Q135" s="14">
        <f t="shared" si="25"/>
        <v>0.53749999999999998</v>
      </c>
      <c r="R135" s="28">
        <f t="shared" ca="1" si="26"/>
        <v>1</v>
      </c>
      <c r="S135" s="23">
        <f t="shared" si="27"/>
        <v>-19980</v>
      </c>
      <c r="T135" s="23">
        <f t="shared" ca="1" si="28"/>
        <v>0</v>
      </c>
      <c r="U135" s="23">
        <f t="shared" si="29"/>
        <v>43200</v>
      </c>
      <c r="V135" s="33">
        <f t="shared" si="32"/>
        <v>45930</v>
      </c>
    </row>
    <row r="136" spans="1:22" ht="14.5" x14ac:dyDescent="0.35">
      <c r="A136" s="32" t="s">
        <v>286</v>
      </c>
      <c r="B136" s="30">
        <v>45946.333333333299</v>
      </c>
      <c r="C136" s="30">
        <v>45960.708333333299</v>
      </c>
      <c r="D136" s="30">
        <v>45946.333333333299</v>
      </c>
      <c r="E136" s="30">
        <v>45961.333333333299</v>
      </c>
      <c r="F136" s="21" t="s">
        <v>278</v>
      </c>
      <c r="G136" s="25">
        <v>1</v>
      </c>
      <c r="H136" s="14">
        <v>135</v>
      </c>
      <c r="I136" s="18"/>
      <c r="J136" s="27">
        <v>3</v>
      </c>
      <c r="K136" s="29">
        <f t="shared" si="30"/>
        <v>14.375</v>
      </c>
      <c r="L136" s="29">
        <f t="shared" si="31"/>
        <v>15</v>
      </c>
      <c r="M136" s="19">
        <f t="shared" si="22"/>
        <v>46575</v>
      </c>
      <c r="N136" s="18">
        <f t="shared" si="23"/>
        <v>48600</v>
      </c>
      <c r="O136" s="18">
        <f ca="1">IF(Table2[[#This Row],[BL Project Start]]&gt;$B$2, 0,M136)</f>
        <v>46575</v>
      </c>
      <c r="P136" s="18">
        <f t="shared" si="24"/>
        <v>46575</v>
      </c>
      <c r="Q136" s="14">
        <f t="shared" si="25"/>
        <v>0.95833333333333337</v>
      </c>
      <c r="R136" s="28">
        <f t="shared" ca="1" si="26"/>
        <v>1</v>
      </c>
      <c r="S136" s="23">
        <f t="shared" si="27"/>
        <v>-2025</v>
      </c>
      <c r="T136" s="23">
        <f t="shared" ca="1" si="28"/>
        <v>0</v>
      </c>
      <c r="U136" s="23">
        <f t="shared" si="29"/>
        <v>48600</v>
      </c>
      <c r="V136" s="33">
        <f t="shared" si="32"/>
        <v>45961</v>
      </c>
    </row>
    <row r="137" spans="1:22" ht="14.5" x14ac:dyDescent="0.35">
      <c r="A137" s="32" t="s">
        <v>667</v>
      </c>
      <c r="B137" s="30">
        <v>45961.333333333299</v>
      </c>
      <c r="C137" s="30">
        <v>45973.708333333299</v>
      </c>
      <c r="D137" s="30">
        <v>45961.333333333299</v>
      </c>
      <c r="E137" s="30">
        <v>45973.708333333299</v>
      </c>
      <c r="F137" s="21" t="s">
        <v>278</v>
      </c>
      <c r="G137" s="25">
        <v>1</v>
      </c>
      <c r="H137" s="14">
        <v>135</v>
      </c>
      <c r="I137" s="18"/>
      <c r="J137" s="27">
        <v>3</v>
      </c>
      <c r="K137" s="29">
        <f t="shared" si="30"/>
        <v>12.375</v>
      </c>
      <c r="L137" s="29">
        <f t="shared" si="31"/>
        <v>12.375</v>
      </c>
      <c r="M137" s="19">
        <f t="shared" si="22"/>
        <v>40095</v>
      </c>
      <c r="N137" s="18">
        <f t="shared" si="23"/>
        <v>40095</v>
      </c>
      <c r="O137" s="18">
        <f ca="1">IF(Table2[[#This Row],[BL Project Start]]&gt;$B$2, 0,M137)</f>
        <v>40095</v>
      </c>
      <c r="P137" s="18">
        <f t="shared" si="24"/>
        <v>40095</v>
      </c>
      <c r="Q137" s="14">
        <f t="shared" si="25"/>
        <v>1</v>
      </c>
      <c r="R137" s="28">
        <f t="shared" ca="1" si="26"/>
        <v>1</v>
      </c>
      <c r="S137" s="23">
        <f t="shared" si="27"/>
        <v>0</v>
      </c>
      <c r="T137" s="23">
        <f t="shared" ca="1" si="28"/>
        <v>0</v>
      </c>
      <c r="U137" s="23">
        <f t="shared" si="29"/>
        <v>40095</v>
      </c>
      <c r="V137" s="33">
        <f t="shared" si="32"/>
        <v>45991</v>
      </c>
    </row>
    <row r="138" spans="1:22" ht="14.5" x14ac:dyDescent="0.35">
      <c r="A138" s="32" t="s">
        <v>290</v>
      </c>
      <c r="B138" s="30">
        <v>45930.333333333299</v>
      </c>
      <c r="C138" s="30">
        <v>45939.708333333299</v>
      </c>
      <c r="D138" s="30">
        <v>45957.333333333299</v>
      </c>
      <c r="E138" s="30">
        <v>45966.708333333299</v>
      </c>
      <c r="F138" s="21" t="s">
        <v>291</v>
      </c>
      <c r="G138" s="25">
        <v>1</v>
      </c>
      <c r="H138" s="14">
        <v>140</v>
      </c>
      <c r="I138" s="18"/>
      <c r="J138" s="27">
        <v>3</v>
      </c>
      <c r="K138" s="29">
        <f t="shared" si="30"/>
        <v>9.375</v>
      </c>
      <c r="L138" s="29">
        <f t="shared" si="31"/>
        <v>9.375</v>
      </c>
      <c r="M138" s="19">
        <f t="shared" si="22"/>
        <v>31500</v>
      </c>
      <c r="N138" s="18">
        <f t="shared" si="23"/>
        <v>31500</v>
      </c>
      <c r="O138" s="18">
        <f ca="1">IF(Table2[[#This Row],[BL Project Start]]&gt;$B$2, 0,M138)</f>
        <v>31500</v>
      </c>
      <c r="P138" s="18">
        <f t="shared" si="24"/>
        <v>31500</v>
      </c>
      <c r="Q138" s="14">
        <f t="shared" si="25"/>
        <v>1</v>
      </c>
      <c r="R138" s="28">
        <f t="shared" ca="1" si="26"/>
        <v>1</v>
      </c>
      <c r="S138" s="23">
        <f t="shared" si="27"/>
        <v>0</v>
      </c>
      <c r="T138" s="23">
        <f t="shared" ca="1" si="28"/>
        <v>0</v>
      </c>
      <c r="U138" s="23">
        <f t="shared" si="29"/>
        <v>31500</v>
      </c>
      <c r="V138" s="33">
        <f t="shared" si="32"/>
        <v>45961</v>
      </c>
    </row>
    <row r="139" spans="1:22" ht="14.5" x14ac:dyDescent="0.35">
      <c r="A139" s="32" t="s">
        <v>293</v>
      </c>
      <c r="B139" s="30">
        <v>45940.333333333299</v>
      </c>
      <c r="C139" s="30">
        <v>45968.708333333299</v>
      </c>
      <c r="D139" s="30">
        <v>45966.333333333299</v>
      </c>
      <c r="E139" s="30">
        <v>45994.708333333299</v>
      </c>
      <c r="F139" s="21" t="s">
        <v>291</v>
      </c>
      <c r="G139" s="25">
        <v>1</v>
      </c>
      <c r="H139" s="14">
        <v>140</v>
      </c>
      <c r="I139" s="18"/>
      <c r="J139" s="27">
        <v>4</v>
      </c>
      <c r="K139" s="29">
        <f t="shared" si="30"/>
        <v>28.375</v>
      </c>
      <c r="L139" s="29">
        <f t="shared" si="31"/>
        <v>28.375</v>
      </c>
      <c r="M139" s="19">
        <f t="shared" si="22"/>
        <v>127120</v>
      </c>
      <c r="N139" s="18">
        <f t="shared" si="23"/>
        <v>127120</v>
      </c>
      <c r="O139" s="18">
        <f ca="1">IF(Table2[[#This Row],[BL Project Start]]&gt;$B$2, 0,M139)</f>
        <v>127120</v>
      </c>
      <c r="P139" s="18">
        <f t="shared" si="24"/>
        <v>127120</v>
      </c>
      <c r="Q139" s="14">
        <f t="shared" si="25"/>
        <v>1</v>
      </c>
      <c r="R139" s="28">
        <f t="shared" ca="1" si="26"/>
        <v>1</v>
      </c>
      <c r="S139" s="23">
        <f t="shared" si="27"/>
        <v>0</v>
      </c>
      <c r="T139" s="23">
        <f t="shared" ca="1" si="28"/>
        <v>0</v>
      </c>
      <c r="U139" s="23">
        <f t="shared" si="29"/>
        <v>127120</v>
      </c>
      <c r="V139" s="33">
        <f t="shared" si="32"/>
        <v>45991</v>
      </c>
    </row>
    <row r="140" spans="1:22" ht="14.5" x14ac:dyDescent="0.35">
      <c r="A140" s="32" t="s">
        <v>295</v>
      </c>
      <c r="B140" s="30">
        <v>45994.333333333299</v>
      </c>
      <c r="C140" s="30">
        <v>46013.708333333299</v>
      </c>
      <c r="D140" s="30">
        <v>45994.333333333299</v>
      </c>
      <c r="E140" s="30">
        <v>46013.708333333299</v>
      </c>
      <c r="F140" s="21" t="s">
        <v>291</v>
      </c>
      <c r="G140" s="25">
        <v>1</v>
      </c>
      <c r="H140" s="14">
        <v>140</v>
      </c>
      <c r="I140" s="18"/>
      <c r="J140" s="27">
        <v>4</v>
      </c>
      <c r="K140" s="29">
        <f t="shared" si="30"/>
        <v>19.375</v>
      </c>
      <c r="L140" s="29">
        <f t="shared" si="31"/>
        <v>19.375</v>
      </c>
      <c r="M140" s="19">
        <f t="shared" si="22"/>
        <v>86800</v>
      </c>
      <c r="N140" s="18">
        <f t="shared" si="23"/>
        <v>86800</v>
      </c>
      <c r="O140" s="18">
        <f ca="1">IF(Table2[[#This Row],[BL Project Start]]&gt;$B$2, 0,M140)</f>
        <v>86800</v>
      </c>
      <c r="P140" s="18">
        <f t="shared" si="24"/>
        <v>86800</v>
      </c>
      <c r="Q140" s="14">
        <f t="shared" si="25"/>
        <v>1</v>
      </c>
      <c r="R140" s="28">
        <f t="shared" ca="1" si="26"/>
        <v>1</v>
      </c>
      <c r="S140" s="23">
        <f t="shared" si="27"/>
        <v>0</v>
      </c>
      <c r="T140" s="23">
        <f t="shared" ca="1" si="28"/>
        <v>0</v>
      </c>
      <c r="U140" s="23">
        <f t="shared" si="29"/>
        <v>86800</v>
      </c>
      <c r="V140" s="33">
        <f t="shared" si="32"/>
        <v>46022</v>
      </c>
    </row>
    <row r="141" spans="1:22" ht="14.5" x14ac:dyDescent="0.35">
      <c r="A141" s="32" t="s">
        <v>297</v>
      </c>
      <c r="B141" s="30">
        <v>45971.333333333299</v>
      </c>
      <c r="C141" s="30">
        <v>45988.708333333299</v>
      </c>
      <c r="D141" s="30">
        <v>46013.333333333299</v>
      </c>
      <c r="E141" s="30">
        <v>46024.333333333299</v>
      </c>
      <c r="F141" s="21" t="s">
        <v>291</v>
      </c>
      <c r="G141" s="25">
        <v>1</v>
      </c>
      <c r="H141" s="14">
        <v>140</v>
      </c>
      <c r="I141" s="18"/>
      <c r="J141" s="27">
        <v>3</v>
      </c>
      <c r="K141" s="29">
        <f t="shared" si="30"/>
        <v>17.375</v>
      </c>
      <c r="L141" s="29">
        <f t="shared" si="31"/>
        <v>11</v>
      </c>
      <c r="M141" s="19">
        <f t="shared" si="22"/>
        <v>58380</v>
      </c>
      <c r="N141" s="18">
        <f t="shared" si="23"/>
        <v>36960</v>
      </c>
      <c r="O141" s="18">
        <f ca="1">IF(Table2[[#This Row],[BL Project Start]]&gt;$B$2, 0,M141)</f>
        <v>58380</v>
      </c>
      <c r="P141" s="18">
        <f t="shared" si="24"/>
        <v>58380</v>
      </c>
      <c r="Q141" s="14">
        <f t="shared" si="25"/>
        <v>1.5795454545454546</v>
      </c>
      <c r="R141" s="28">
        <f t="shared" ca="1" si="26"/>
        <v>1</v>
      </c>
      <c r="S141" s="23">
        <f t="shared" si="27"/>
        <v>21420</v>
      </c>
      <c r="T141" s="23">
        <f t="shared" ca="1" si="28"/>
        <v>0</v>
      </c>
      <c r="U141" s="23">
        <f t="shared" si="29"/>
        <v>36960</v>
      </c>
      <c r="V141" s="33">
        <f t="shared" si="32"/>
        <v>45991</v>
      </c>
    </row>
    <row r="142" spans="1:22" ht="14.5" x14ac:dyDescent="0.35">
      <c r="A142" s="32" t="s">
        <v>299</v>
      </c>
      <c r="B142" s="30">
        <v>45932.333333333299</v>
      </c>
      <c r="C142" s="30">
        <v>45936.708333333299</v>
      </c>
      <c r="D142" s="30">
        <v>45932.333333333299</v>
      </c>
      <c r="E142" s="30">
        <v>45936.708333333299</v>
      </c>
      <c r="F142" s="21" t="s">
        <v>300</v>
      </c>
      <c r="G142" s="25">
        <v>1</v>
      </c>
      <c r="H142" s="14">
        <v>135</v>
      </c>
      <c r="I142" s="18"/>
      <c r="J142" s="27">
        <v>3</v>
      </c>
      <c r="K142" s="29">
        <f t="shared" si="30"/>
        <v>4.375</v>
      </c>
      <c r="L142" s="29">
        <f t="shared" si="31"/>
        <v>4.375</v>
      </c>
      <c r="M142" s="19">
        <f t="shared" si="22"/>
        <v>14175</v>
      </c>
      <c r="N142" s="18">
        <f t="shared" si="23"/>
        <v>14175</v>
      </c>
      <c r="O142" s="18">
        <f ca="1">IF(Table2[[#This Row],[BL Project Start]]&gt;$B$2, 0,M142)</f>
        <v>14175</v>
      </c>
      <c r="P142" s="18">
        <f t="shared" si="24"/>
        <v>14175</v>
      </c>
      <c r="Q142" s="14">
        <f t="shared" si="25"/>
        <v>1</v>
      </c>
      <c r="R142" s="28">
        <f t="shared" ca="1" si="26"/>
        <v>1</v>
      </c>
      <c r="S142" s="23">
        <f t="shared" si="27"/>
        <v>0</v>
      </c>
      <c r="T142" s="23">
        <f t="shared" ca="1" si="28"/>
        <v>0</v>
      </c>
      <c r="U142" s="23">
        <f t="shared" si="29"/>
        <v>14175</v>
      </c>
      <c r="V142" s="33">
        <f t="shared" si="32"/>
        <v>45961</v>
      </c>
    </row>
    <row r="143" spans="1:22" ht="14.5" x14ac:dyDescent="0.35">
      <c r="A143" s="32" t="s">
        <v>302</v>
      </c>
      <c r="B143" s="30">
        <v>45989.333333333299</v>
      </c>
      <c r="C143" s="30">
        <v>46001.708333333299</v>
      </c>
      <c r="D143" s="30">
        <v>46024.333333333299</v>
      </c>
      <c r="E143" s="30">
        <v>46036.708333333299</v>
      </c>
      <c r="F143" s="21" t="s">
        <v>303</v>
      </c>
      <c r="G143" s="25">
        <v>1</v>
      </c>
      <c r="H143" s="14">
        <v>140</v>
      </c>
      <c r="I143" s="18"/>
      <c r="J143" s="27">
        <v>1</v>
      </c>
      <c r="K143" s="29">
        <f t="shared" si="30"/>
        <v>12.375</v>
      </c>
      <c r="L143" s="29">
        <f t="shared" si="31"/>
        <v>12.375</v>
      </c>
      <c r="M143" s="19">
        <f t="shared" si="22"/>
        <v>13860</v>
      </c>
      <c r="N143" s="18">
        <f t="shared" si="23"/>
        <v>13860</v>
      </c>
      <c r="O143" s="18">
        <f ca="1">IF(Table2[[#This Row],[BL Project Start]]&gt;$B$2, 0,M143)</f>
        <v>13860</v>
      </c>
      <c r="P143" s="18">
        <f t="shared" si="24"/>
        <v>13860</v>
      </c>
      <c r="Q143" s="14">
        <f t="shared" si="25"/>
        <v>1</v>
      </c>
      <c r="R143" s="28">
        <f t="shared" ca="1" si="26"/>
        <v>1</v>
      </c>
      <c r="S143" s="23">
        <f t="shared" si="27"/>
        <v>0</v>
      </c>
      <c r="T143" s="23">
        <f t="shared" ca="1" si="28"/>
        <v>0</v>
      </c>
      <c r="U143" s="23">
        <f t="shared" si="29"/>
        <v>13860</v>
      </c>
      <c r="V143" s="33">
        <f t="shared" si="32"/>
        <v>46022</v>
      </c>
    </row>
    <row r="144" spans="1:22" ht="14.5" x14ac:dyDescent="0.35">
      <c r="A144" s="32" t="s">
        <v>305</v>
      </c>
      <c r="B144" s="30">
        <v>46024.333333333299</v>
      </c>
      <c r="C144" s="30">
        <v>46038.708333333299</v>
      </c>
      <c r="D144" s="30">
        <v>46024.333333333299</v>
      </c>
      <c r="E144" s="30">
        <v>46038.708333333299</v>
      </c>
      <c r="F144" s="21" t="s">
        <v>303</v>
      </c>
      <c r="G144" s="25">
        <v>1</v>
      </c>
      <c r="H144" s="14">
        <v>140</v>
      </c>
      <c r="I144" s="18"/>
      <c r="J144" s="27">
        <v>1</v>
      </c>
      <c r="K144" s="29">
        <f t="shared" si="30"/>
        <v>14.375</v>
      </c>
      <c r="L144" s="29">
        <f t="shared" si="31"/>
        <v>14.375</v>
      </c>
      <c r="M144" s="19">
        <f t="shared" si="22"/>
        <v>16100</v>
      </c>
      <c r="N144" s="18">
        <f t="shared" si="23"/>
        <v>16100</v>
      </c>
      <c r="O144" s="18">
        <f ca="1">IF(Table2[[#This Row],[BL Project Start]]&gt;$B$2, 0,M144)</f>
        <v>16100</v>
      </c>
      <c r="P144" s="18">
        <f t="shared" si="24"/>
        <v>16100</v>
      </c>
      <c r="Q144" s="14">
        <f t="shared" si="25"/>
        <v>1</v>
      </c>
      <c r="R144" s="28">
        <f t="shared" ca="1" si="26"/>
        <v>1</v>
      </c>
      <c r="S144" s="23">
        <f t="shared" si="27"/>
        <v>0</v>
      </c>
      <c r="T144" s="23">
        <f t="shared" ca="1" si="28"/>
        <v>0</v>
      </c>
      <c r="U144" s="23">
        <f t="shared" si="29"/>
        <v>16100</v>
      </c>
      <c r="V144" s="33">
        <f t="shared" si="32"/>
        <v>46053</v>
      </c>
    </row>
    <row r="145" spans="1:22" ht="14.5" x14ac:dyDescent="0.35">
      <c r="A145" s="32" t="s">
        <v>307</v>
      </c>
      <c r="B145" s="30">
        <v>45989.333333333299</v>
      </c>
      <c r="C145" s="30">
        <v>46003.708333333299</v>
      </c>
      <c r="D145" s="30">
        <v>46024.333333333299</v>
      </c>
      <c r="E145" s="30">
        <v>46038.708333333299</v>
      </c>
      <c r="F145" s="21" t="s">
        <v>303</v>
      </c>
      <c r="G145" s="25">
        <v>1</v>
      </c>
      <c r="H145" s="14">
        <v>140</v>
      </c>
      <c r="I145" s="18"/>
      <c r="J145" s="27">
        <v>1</v>
      </c>
      <c r="K145" s="29">
        <f t="shared" si="30"/>
        <v>14.375</v>
      </c>
      <c r="L145" s="29">
        <f t="shared" si="31"/>
        <v>14.375</v>
      </c>
      <c r="M145" s="19">
        <f t="shared" si="22"/>
        <v>16100</v>
      </c>
      <c r="N145" s="18">
        <f t="shared" si="23"/>
        <v>16100</v>
      </c>
      <c r="O145" s="18">
        <f ca="1">IF(Table2[[#This Row],[BL Project Start]]&gt;$B$2, 0,M145)</f>
        <v>16100</v>
      </c>
      <c r="P145" s="18">
        <f t="shared" si="24"/>
        <v>16100</v>
      </c>
      <c r="Q145" s="14">
        <f t="shared" si="25"/>
        <v>1</v>
      </c>
      <c r="R145" s="28">
        <f t="shared" ca="1" si="26"/>
        <v>1</v>
      </c>
      <c r="S145" s="23">
        <f t="shared" si="27"/>
        <v>0</v>
      </c>
      <c r="T145" s="23">
        <f t="shared" ca="1" si="28"/>
        <v>0</v>
      </c>
      <c r="U145" s="23">
        <f t="shared" si="29"/>
        <v>16100</v>
      </c>
      <c r="V145" s="33">
        <f t="shared" si="32"/>
        <v>46022</v>
      </c>
    </row>
    <row r="146" spans="1:22" ht="14.5" x14ac:dyDescent="0.35">
      <c r="A146" s="32" t="s">
        <v>309</v>
      </c>
      <c r="B146" s="30">
        <v>46006.333333333299</v>
      </c>
      <c r="C146" s="30">
        <v>46023.708333333299</v>
      </c>
      <c r="D146" s="30">
        <v>46038.333333333299</v>
      </c>
      <c r="E146" s="30">
        <v>46057.708333333299</v>
      </c>
      <c r="F146" s="21" t="s">
        <v>310</v>
      </c>
      <c r="G146" s="25">
        <v>1</v>
      </c>
      <c r="H146" s="14">
        <v>140</v>
      </c>
      <c r="I146" s="18"/>
      <c r="J146" s="27">
        <v>3</v>
      </c>
      <c r="K146" s="29">
        <f t="shared" si="30"/>
        <v>17.375</v>
      </c>
      <c r="L146" s="29">
        <f t="shared" si="31"/>
        <v>19.375</v>
      </c>
      <c r="M146" s="19">
        <f t="shared" si="22"/>
        <v>58380</v>
      </c>
      <c r="N146" s="18">
        <f t="shared" si="23"/>
        <v>65100</v>
      </c>
      <c r="O146" s="18">
        <f ca="1">IF(Table2[[#This Row],[BL Project Start]]&gt;$B$2, 0,M146)</f>
        <v>58380</v>
      </c>
      <c r="P146" s="18">
        <f t="shared" si="24"/>
        <v>58380</v>
      </c>
      <c r="Q146" s="14">
        <f t="shared" si="25"/>
        <v>0.89677419354838706</v>
      </c>
      <c r="R146" s="28">
        <f t="shared" ca="1" si="26"/>
        <v>1</v>
      </c>
      <c r="S146" s="23">
        <f t="shared" si="27"/>
        <v>-6720</v>
      </c>
      <c r="T146" s="23">
        <f t="shared" ca="1" si="28"/>
        <v>0</v>
      </c>
      <c r="U146" s="23">
        <f t="shared" si="29"/>
        <v>65100</v>
      </c>
      <c r="V146" s="33">
        <f t="shared" si="32"/>
        <v>46053</v>
      </c>
    </row>
    <row r="147" spans="1:22" ht="14.5" x14ac:dyDescent="0.35">
      <c r="A147" s="32" t="s">
        <v>668</v>
      </c>
      <c r="B147" s="30">
        <v>45989.333333333299</v>
      </c>
      <c r="C147" s="30">
        <v>46009.708333333299</v>
      </c>
      <c r="D147" s="30">
        <v>46024.333333333299</v>
      </c>
      <c r="E147" s="30">
        <v>46044.708333333299</v>
      </c>
      <c r="F147" s="21" t="s">
        <v>310</v>
      </c>
      <c r="G147" s="25">
        <v>1</v>
      </c>
      <c r="H147" s="14">
        <v>140</v>
      </c>
      <c r="I147" s="18"/>
      <c r="J147" s="27">
        <v>4</v>
      </c>
      <c r="K147" s="29">
        <f t="shared" si="30"/>
        <v>20.375</v>
      </c>
      <c r="L147" s="29">
        <f t="shared" si="31"/>
        <v>20.375</v>
      </c>
      <c r="M147" s="19">
        <f t="shared" si="22"/>
        <v>91280</v>
      </c>
      <c r="N147" s="18">
        <f t="shared" si="23"/>
        <v>91280</v>
      </c>
      <c r="O147" s="18">
        <f ca="1">IF(Table2[[#This Row],[BL Project Start]]&gt;$B$2, 0,M147)</f>
        <v>91280</v>
      </c>
      <c r="P147" s="18">
        <f t="shared" si="24"/>
        <v>91280</v>
      </c>
      <c r="Q147" s="14">
        <f t="shared" si="25"/>
        <v>1</v>
      </c>
      <c r="R147" s="28">
        <f t="shared" ca="1" si="26"/>
        <v>1</v>
      </c>
      <c r="S147" s="23">
        <f t="shared" si="27"/>
        <v>0</v>
      </c>
      <c r="T147" s="23">
        <f t="shared" ca="1" si="28"/>
        <v>0</v>
      </c>
      <c r="U147" s="23">
        <f t="shared" si="29"/>
        <v>91280</v>
      </c>
      <c r="V147" s="33">
        <f t="shared" si="32"/>
        <v>46022</v>
      </c>
    </row>
    <row r="148" spans="1:22" ht="14.5" x14ac:dyDescent="0.35">
      <c r="A148" s="32" t="s">
        <v>669</v>
      </c>
      <c r="B148" s="30">
        <v>45989.333333333299</v>
      </c>
      <c r="C148" s="30">
        <v>46015.708333333299</v>
      </c>
      <c r="D148" s="30">
        <v>46024.333333333299</v>
      </c>
      <c r="E148" s="30">
        <v>46050.708333333299</v>
      </c>
      <c r="F148" s="21" t="s">
        <v>310</v>
      </c>
      <c r="G148" s="25">
        <v>1</v>
      </c>
      <c r="H148" s="14">
        <v>140</v>
      </c>
      <c r="I148" s="18"/>
      <c r="J148" s="27">
        <v>4</v>
      </c>
      <c r="K148" s="29">
        <f t="shared" si="30"/>
        <v>26.375</v>
      </c>
      <c r="L148" s="29">
        <f t="shared" si="31"/>
        <v>26.375</v>
      </c>
      <c r="M148" s="19">
        <f t="shared" si="22"/>
        <v>118160</v>
      </c>
      <c r="N148" s="18">
        <f t="shared" si="23"/>
        <v>118160</v>
      </c>
      <c r="O148" s="18">
        <f ca="1">IF(Table2[[#This Row],[BL Project Start]]&gt;$B$2, 0,M148)</f>
        <v>118160</v>
      </c>
      <c r="P148" s="18">
        <f t="shared" si="24"/>
        <v>118160</v>
      </c>
      <c r="Q148" s="14">
        <f t="shared" si="25"/>
        <v>1</v>
      </c>
      <c r="R148" s="28">
        <f t="shared" ca="1" si="26"/>
        <v>1</v>
      </c>
      <c r="S148" s="23">
        <f t="shared" si="27"/>
        <v>0</v>
      </c>
      <c r="T148" s="23">
        <f t="shared" ca="1" si="28"/>
        <v>0</v>
      </c>
      <c r="U148" s="23">
        <f t="shared" si="29"/>
        <v>118160</v>
      </c>
      <c r="V148" s="33">
        <f t="shared" si="32"/>
        <v>46022</v>
      </c>
    </row>
    <row r="149" spans="1:22" ht="14.5" x14ac:dyDescent="0.35">
      <c r="A149" s="32" t="s">
        <v>316</v>
      </c>
      <c r="B149" s="30">
        <v>46016.333333333299</v>
      </c>
      <c r="C149" s="30">
        <v>46034.708333333299</v>
      </c>
      <c r="D149" s="30">
        <v>46050.333333333299</v>
      </c>
      <c r="E149" s="30">
        <v>46066.708333333299</v>
      </c>
      <c r="F149" s="21" t="s">
        <v>310</v>
      </c>
      <c r="G149" s="25">
        <v>1</v>
      </c>
      <c r="H149" s="14">
        <v>140</v>
      </c>
      <c r="I149" s="18"/>
      <c r="J149" s="27">
        <v>4</v>
      </c>
      <c r="K149" s="29">
        <f t="shared" si="30"/>
        <v>18.375</v>
      </c>
      <c r="L149" s="29">
        <f t="shared" si="31"/>
        <v>16.375</v>
      </c>
      <c r="M149" s="19">
        <f t="shared" si="22"/>
        <v>82320</v>
      </c>
      <c r="N149" s="18">
        <f t="shared" si="23"/>
        <v>73360</v>
      </c>
      <c r="O149" s="18">
        <f ca="1">IF(Table2[[#This Row],[BL Project Start]]&gt;$B$2, 0,M149)</f>
        <v>82320</v>
      </c>
      <c r="P149" s="18">
        <f t="shared" si="24"/>
        <v>82320</v>
      </c>
      <c r="Q149" s="14">
        <f t="shared" si="25"/>
        <v>1.1221374045801527</v>
      </c>
      <c r="R149" s="28">
        <f t="shared" ca="1" si="26"/>
        <v>1</v>
      </c>
      <c r="S149" s="23">
        <f t="shared" si="27"/>
        <v>8960</v>
      </c>
      <c r="T149" s="23">
        <f t="shared" ca="1" si="28"/>
        <v>0</v>
      </c>
      <c r="U149" s="23">
        <f t="shared" si="29"/>
        <v>73360</v>
      </c>
      <c r="V149" s="33">
        <f t="shared" si="32"/>
        <v>46053</v>
      </c>
    </row>
    <row r="150" spans="1:22" ht="14.5" x14ac:dyDescent="0.35">
      <c r="A150" s="32" t="s">
        <v>318</v>
      </c>
      <c r="B150" s="30">
        <v>46035.333333333299</v>
      </c>
      <c r="C150" s="30">
        <v>46055.708333333299</v>
      </c>
      <c r="D150" s="30">
        <v>46066.333333333299</v>
      </c>
      <c r="E150" s="30">
        <v>46080.708333333299</v>
      </c>
      <c r="F150" s="21" t="s">
        <v>319</v>
      </c>
      <c r="G150" s="25">
        <v>1</v>
      </c>
      <c r="H150" s="14">
        <v>150</v>
      </c>
      <c r="I150" s="18"/>
      <c r="J150" s="27">
        <v>1</v>
      </c>
      <c r="K150" s="29">
        <f t="shared" si="30"/>
        <v>20.375</v>
      </c>
      <c r="L150" s="29">
        <f t="shared" si="31"/>
        <v>14.375</v>
      </c>
      <c r="M150" s="19">
        <f t="shared" si="22"/>
        <v>24450</v>
      </c>
      <c r="N150" s="18">
        <f t="shared" si="23"/>
        <v>17250</v>
      </c>
      <c r="O150" s="18">
        <f ca="1">IF(Table2[[#This Row],[BL Project Start]]&gt;$B$2, 0,M150)</f>
        <v>24450</v>
      </c>
      <c r="P150" s="18">
        <f t="shared" si="24"/>
        <v>24450</v>
      </c>
      <c r="Q150" s="14">
        <f t="shared" si="25"/>
        <v>1.4173913043478261</v>
      </c>
      <c r="R150" s="28">
        <f t="shared" ca="1" si="26"/>
        <v>1</v>
      </c>
      <c r="S150" s="23">
        <f t="shared" si="27"/>
        <v>7200</v>
      </c>
      <c r="T150" s="23">
        <f t="shared" ca="1" si="28"/>
        <v>0</v>
      </c>
      <c r="U150" s="23">
        <f t="shared" si="29"/>
        <v>17250</v>
      </c>
      <c r="V150" s="33">
        <f t="shared" si="32"/>
        <v>46081</v>
      </c>
    </row>
    <row r="151" spans="1:22" ht="14.5" x14ac:dyDescent="0.35">
      <c r="A151" s="32" t="s">
        <v>321</v>
      </c>
      <c r="B151" s="30">
        <v>46056.333333333299</v>
      </c>
      <c r="C151" s="30">
        <v>46076.708333333299</v>
      </c>
      <c r="D151" s="30">
        <v>46080.333333333299</v>
      </c>
      <c r="E151" s="30">
        <v>46090.708333333299</v>
      </c>
      <c r="F151" s="21" t="s">
        <v>322</v>
      </c>
      <c r="G151" s="25">
        <v>1</v>
      </c>
      <c r="H151" s="14">
        <v>135</v>
      </c>
      <c r="I151" s="18"/>
      <c r="J151" s="27">
        <v>1</v>
      </c>
      <c r="K151" s="29">
        <f t="shared" si="30"/>
        <v>20.375</v>
      </c>
      <c r="L151" s="29">
        <f t="shared" si="31"/>
        <v>10.375</v>
      </c>
      <c r="M151" s="19">
        <f t="shared" si="22"/>
        <v>22005</v>
      </c>
      <c r="N151" s="18">
        <f t="shared" si="23"/>
        <v>11205</v>
      </c>
      <c r="O151" s="18">
        <f ca="1">IF(Table2[[#This Row],[BL Project Start]]&gt;$B$2, 0,M151)</f>
        <v>22005</v>
      </c>
      <c r="P151" s="18">
        <f t="shared" si="24"/>
        <v>22005</v>
      </c>
      <c r="Q151" s="14">
        <f t="shared" si="25"/>
        <v>1.963855421686747</v>
      </c>
      <c r="R151" s="28">
        <f t="shared" ca="1" si="26"/>
        <v>1</v>
      </c>
      <c r="S151" s="23">
        <f t="shared" si="27"/>
        <v>10800</v>
      </c>
      <c r="T151" s="23">
        <f t="shared" ca="1" si="28"/>
        <v>0</v>
      </c>
      <c r="U151" s="23">
        <f t="shared" si="29"/>
        <v>11205</v>
      </c>
      <c r="V151" s="33">
        <f t="shared" si="32"/>
        <v>46081</v>
      </c>
    </row>
    <row r="152" spans="1:22" ht="14.5" x14ac:dyDescent="0.35">
      <c r="A152" s="32" t="s">
        <v>670</v>
      </c>
      <c r="B152" s="30">
        <v>46090.333333333299</v>
      </c>
      <c r="C152" s="30">
        <v>46101.708333333299</v>
      </c>
      <c r="D152" s="30">
        <v>46090.333333333299</v>
      </c>
      <c r="E152" s="30">
        <v>46101.708333333299</v>
      </c>
      <c r="F152" s="21" t="s">
        <v>325</v>
      </c>
      <c r="G152" s="25">
        <v>1</v>
      </c>
      <c r="H152" s="14">
        <v>135</v>
      </c>
      <c r="I152" s="18"/>
      <c r="J152" s="27">
        <v>1</v>
      </c>
      <c r="K152" s="29">
        <f t="shared" si="30"/>
        <v>11.375</v>
      </c>
      <c r="L152" s="29">
        <f t="shared" si="31"/>
        <v>11.375</v>
      </c>
      <c r="M152" s="19">
        <f t="shared" si="22"/>
        <v>12285</v>
      </c>
      <c r="N152" s="18">
        <f t="shared" si="23"/>
        <v>12285</v>
      </c>
      <c r="O152" s="18">
        <f ca="1">IF(Table2[[#This Row],[BL Project Start]]&gt;$B$2, 0,M152)</f>
        <v>0</v>
      </c>
      <c r="P152" s="18">
        <f t="shared" si="24"/>
        <v>12285</v>
      </c>
      <c r="Q152" s="14">
        <f t="shared" si="25"/>
        <v>1</v>
      </c>
      <c r="R152" s="28" t="str">
        <f t="shared" ca="1" si="26"/>
        <v/>
      </c>
      <c r="S152" s="23">
        <f t="shared" si="27"/>
        <v>0</v>
      </c>
      <c r="T152" s="23">
        <f t="shared" ca="1" si="28"/>
        <v>12285</v>
      </c>
      <c r="U152" s="23">
        <f t="shared" si="29"/>
        <v>12285</v>
      </c>
      <c r="V152" s="33">
        <f t="shared" si="32"/>
        <v>46112</v>
      </c>
    </row>
    <row r="153" spans="1:22" ht="14.5" x14ac:dyDescent="0.35">
      <c r="A153" s="32" t="s">
        <v>327</v>
      </c>
      <c r="B153" s="30">
        <v>45877.333333333299</v>
      </c>
      <c r="C153" s="30">
        <v>45887.708333333299</v>
      </c>
      <c r="D153" s="30">
        <v>45890.333333333299</v>
      </c>
      <c r="E153" s="30">
        <v>45898.708333333299</v>
      </c>
      <c r="F153" s="21" t="s">
        <v>328</v>
      </c>
      <c r="G153" s="25">
        <v>1</v>
      </c>
      <c r="H153" s="14">
        <v>145</v>
      </c>
      <c r="I153" s="18"/>
      <c r="J153" s="27">
        <v>1</v>
      </c>
      <c r="K153" s="29">
        <f t="shared" si="30"/>
        <v>10.375</v>
      </c>
      <c r="L153" s="29">
        <f t="shared" si="31"/>
        <v>8.375</v>
      </c>
      <c r="M153" s="19">
        <f t="shared" si="22"/>
        <v>12035</v>
      </c>
      <c r="N153" s="18">
        <f t="shared" si="23"/>
        <v>9715</v>
      </c>
      <c r="O153" s="18">
        <f ca="1">IF(Table2[[#This Row],[BL Project Start]]&gt;$B$2, 0,M153)</f>
        <v>12035</v>
      </c>
      <c r="P153" s="18">
        <f t="shared" si="24"/>
        <v>12035</v>
      </c>
      <c r="Q153" s="14">
        <f t="shared" si="25"/>
        <v>1.2388059701492538</v>
      </c>
      <c r="R153" s="28">
        <f t="shared" ca="1" si="26"/>
        <v>1</v>
      </c>
      <c r="S153" s="23">
        <f t="shared" si="27"/>
        <v>2320</v>
      </c>
      <c r="T153" s="23">
        <f t="shared" ca="1" si="28"/>
        <v>0</v>
      </c>
      <c r="U153" s="23">
        <f t="shared" si="29"/>
        <v>9715</v>
      </c>
      <c r="V153" s="33">
        <f t="shared" si="32"/>
        <v>45900</v>
      </c>
    </row>
    <row r="154" spans="1:22" ht="14.5" x14ac:dyDescent="0.35">
      <c r="A154" s="32" t="s">
        <v>330</v>
      </c>
      <c r="B154" s="30">
        <v>45989.333333333299</v>
      </c>
      <c r="C154" s="30">
        <v>46014.708333333299</v>
      </c>
      <c r="D154" s="30">
        <v>46024.333333333299</v>
      </c>
      <c r="E154" s="30">
        <v>46049.708333333299</v>
      </c>
      <c r="F154" s="21" t="s">
        <v>331</v>
      </c>
      <c r="G154" s="25">
        <v>1</v>
      </c>
      <c r="H154" s="14">
        <v>135</v>
      </c>
      <c r="I154" s="18"/>
      <c r="J154" s="27">
        <v>3</v>
      </c>
      <c r="K154" s="29">
        <f t="shared" si="30"/>
        <v>25.375</v>
      </c>
      <c r="L154" s="29">
        <f t="shared" si="31"/>
        <v>25.375</v>
      </c>
      <c r="M154" s="19">
        <f t="shared" si="22"/>
        <v>82215</v>
      </c>
      <c r="N154" s="18">
        <f t="shared" si="23"/>
        <v>82215</v>
      </c>
      <c r="O154" s="18">
        <f ca="1">IF(Table2[[#This Row],[BL Project Start]]&gt;$B$2, 0,M154)</f>
        <v>82215</v>
      </c>
      <c r="P154" s="18">
        <f t="shared" si="24"/>
        <v>82215</v>
      </c>
      <c r="Q154" s="14">
        <f t="shared" si="25"/>
        <v>1</v>
      </c>
      <c r="R154" s="28">
        <f t="shared" ca="1" si="26"/>
        <v>1</v>
      </c>
      <c r="S154" s="23">
        <f t="shared" si="27"/>
        <v>0</v>
      </c>
      <c r="T154" s="23">
        <f t="shared" ca="1" si="28"/>
        <v>0</v>
      </c>
      <c r="U154" s="23">
        <f t="shared" si="29"/>
        <v>82215</v>
      </c>
      <c r="V154" s="33">
        <f t="shared" si="32"/>
        <v>46022</v>
      </c>
    </row>
    <row r="155" spans="1:22" ht="14.5" x14ac:dyDescent="0.35">
      <c r="A155" s="32" t="s">
        <v>333</v>
      </c>
      <c r="B155" s="30">
        <v>46015.333333333299</v>
      </c>
      <c r="C155" s="30">
        <v>46044.708333333299</v>
      </c>
      <c r="D155" s="30">
        <v>46049.333333333299</v>
      </c>
      <c r="E155" s="30">
        <v>46078.708333333299</v>
      </c>
      <c r="F155" s="21" t="s">
        <v>334</v>
      </c>
      <c r="G155" s="25">
        <v>1</v>
      </c>
      <c r="H155" s="14">
        <v>135</v>
      </c>
      <c r="I155" s="18"/>
      <c r="J155" s="27">
        <v>3</v>
      </c>
      <c r="K155" s="29">
        <f t="shared" si="30"/>
        <v>29.375</v>
      </c>
      <c r="L155" s="29">
        <f t="shared" si="31"/>
        <v>29.375</v>
      </c>
      <c r="M155" s="19">
        <f t="shared" si="22"/>
        <v>95175</v>
      </c>
      <c r="N155" s="18">
        <f t="shared" si="23"/>
        <v>95175</v>
      </c>
      <c r="O155" s="18">
        <f ca="1">IF(Table2[[#This Row],[BL Project Start]]&gt;$B$2, 0,M155)</f>
        <v>95175</v>
      </c>
      <c r="P155" s="18">
        <f t="shared" si="24"/>
        <v>95175</v>
      </c>
      <c r="Q155" s="14">
        <f t="shared" si="25"/>
        <v>1</v>
      </c>
      <c r="R155" s="28">
        <f t="shared" ca="1" si="26"/>
        <v>1</v>
      </c>
      <c r="S155" s="23">
        <f t="shared" si="27"/>
        <v>0</v>
      </c>
      <c r="T155" s="23">
        <f t="shared" ca="1" si="28"/>
        <v>0</v>
      </c>
      <c r="U155" s="23">
        <f t="shared" si="29"/>
        <v>95175</v>
      </c>
      <c r="V155" s="33">
        <f t="shared" si="32"/>
        <v>46053</v>
      </c>
    </row>
    <row r="156" spans="1:22" ht="14.5" x14ac:dyDescent="0.35">
      <c r="A156" s="32" t="s">
        <v>336</v>
      </c>
      <c r="B156" s="30">
        <v>46015.333333333299</v>
      </c>
      <c r="C156" s="30">
        <v>46037.708333333299</v>
      </c>
      <c r="D156" s="30">
        <v>46049.333333333299</v>
      </c>
      <c r="E156" s="30">
        <v>46071.708333333299</v>
      </c>
      <c r="F156" s="21" t="s">
        <v>334</v>
      </c>
      <c r="G156" s="25">
        <v>1</v>
      </c>
      <c r="H156" s="14">
        <v>135</v>
      </c>
      <c r="I156" s="18"/>
      <c r="J156" s="27">
        <v>3</v>
      </c>
      <c r="K156" s="29">
        <f t="shared" si="30"/>
        <v>22.375</v>
      </c>
      <c r="L156" s="29">
        <f t="shared" si="31"/>
        <v>22.375</v>
      </c>
      <c r="M156" s="19">
        <f t="shared" si="22"/>
        <v>72495</v>
      </c>
      <c r="N156" s="18">
        <f t="shared" si="23"/>
        <v>72495</v>
      </c>
      <c r="O156" s="18">
        <f ca="1">IF(Table2[[#This Row],[BL Project Start]]&gt;$B$2, 0,M156)</f>
        <v>72495</v>
      </c>
      <c r="P156" s="18">
        <f t="shared" si="24"/>
        <v>72495</v>
      </c>
      <c r="Q156" s="14">
        <f t="shared" si="25"/>
        <v>1</v>
      </c>
      <c r="R156" s="28">
        <f t="shared" ca="1" si="26"/>
        <v>1</v>
      </c>
      <c r="S156" s="23">
        <f t="shared" si="27"/>
        <v>0</v>
      </c>
      <c r="T156" s="23">
        <f t="shared" ca="1" si="28"/>
        <v>0</v>
      </c>
      <c r="U156" s="23">
        <f t="shared" si="29"/>
        <v>72495</v>
      </c>
      <c r="V156" s="33">
        <f t="shared" si="32"/>
        <v>46053</v>
      </c>
    </row>
    <row r="157" spans="1:22" ht="14.5" x14ac:dyDescent="0.35">
      <c r="A157" s="32" t="s">
        <v>338</v>
      </c>
      <c r="B157" s="30">
        <v>46045.333333333299</v>
      </c>
      <c r="C157" s="30">
        <v>46070.708333333299</v>
      </c>
      <c r="D157" s="30">
        <v>46078.333333333299</v>
      </c>
      <c r="E157" s="30">
        <v>46101.708333333299</v>
      </c>
      <c r="F157" s="21" t="s">
        <v>328</v>
      </c>
      <c r="G157" s="25">
        <v>1</v>
      </c>
      <c r="H157" s="14">
        <v>145</v>
      </c>
      <c r="I157" s="18"/>
      <c r="J157" s="27">
        <v>3</v>
      </c>
      <c r="K157" s="29">
        <f t="shared" si="30"/>
        <v>25.375</v>
      </c>
      <c r="L157" s="29">
        <f t="shared" si="31"/>
        <v>23.375</v>
      </c>
      <c r="M157" s="19">
        <f t="shared" si="22"/>
        <v>88305</v>
      </c>
      <c r="N157" s="18">
        <f t="shared" si="23"/>
        <v>81345</v>
      </c>
      <c r="O157" s="18">
        <f ca="1">IF(Table2[[#This Row],[BL Project Start]]&gt;$B$2, 0,M157)</f>
        <v>88305</v>
      </c>
      <c r="P157" s="18">
        <f t="shared" si="24"/>
        <v>88305</v>
      </c>
      <c r="Q157" s="14">
        <f t="shared" si="25"/>
        <v>1.0855614973262031</v>
      </c>
      <c r="R157" s="28">
        <f t="shared" ca="1" si="26"/>
        <v>1</v>
      </c>
      <c r="S157" s="23">
        <f t="shared" si="27"/>
        <v>6960</v>
      </c>
      <c r="T157" s="23">
        <f t="shared" ca="1" si="28"/>
        <v>0</v>
      </c>
      <c r="U157" s="23">
        <f t="shared" si="29"/>
        <v>81345</v>
      </c>
      <c r="V157" s="33">
        <f t="shared" si="32"/>
        <v>46081</v>
      </c>
    </row>
    <row r="158" spans="1:22" ht="14.5" x14ac:dyDescent="0.35">
      <c r="A158" s="32" t="s">
        <v>340</v>
      </c>
      <c r="B158" s="30">
        <v>46038.333333333299</v>
      </c>
      <c r="C158" s="30">
        <v>46058.708333333299</v>
      </c>
      <c r="D158" s="30">
        <v>46071.333333333299</v>
      </c>
      <c r="E158" s="30" t="s">
        <v>5</v>
      </c>
      <c r="F158" s="21" t="s">
        <v>341</v>
      </c>
      <c r="G158" s="25">
        <v>0.3</v>
      </c>
      <c r="H158" s="14">
        <v>145</v>
      </c>
      <c r="I158" s="18"/>
      <c r="J158" s="27">
        <v>3</v>
      </c>
      <c r="K158" s="29">
        <f t="shared" si="30"/>
        <v>20.375</v>
      </c>
      <c r="L158" s="29">
        <f t="shared" si="31"/>
        <v>0</v>
      </c>
      <c r="M158" s="19">
        <f t="shared" si="22"/>
        <v>70905</v>
      </c>
      <c r="N158" s="18">
        <f t="shared" si="23"/>
        <v>0</v>
      </c>
      <c r="O158" s="18">
        <f ca="1">IF(Table2[[#This Row],[BL Project Start]]&gt;$B$2, 0,M158)</f>
        <v>70905</v>
      </c>
      <c r="P158" s="18">
        <f t="shared" si="24"/>
        <v>21271.5</v>
      </c>
      <c r="Q158" s="14" t="str">
        <f t="shared" si="25"/>
        <v/>
      </c>
      <c r="R158" s="28">
        <f t="shared" ca="1" si="26"/>
        <v>0.3</v>
      </c>
      <c r="S158" s="23">
        <f t="shared" si="27"/>
        <v>21271.5</v>
      </c>
      <c r="T158" s="23">
        <f t="shared" ca="1" si="28"/>
        <v>-49633.5</v>
      </c>
      <c r="U158" s="23">
        <f t="shared" si="29"/>
        <v>49633.5</v>
      </c>
      <c r="V158" s="33">
        <f t="shared" si="32"/>
        <v>46081</v>
      </c>
    </row>
    <row r="159" spans="1:22" ht="14.5" x14ac:dyDescent="0.35">
      <c r="A159" s="32" t="s">
        <v>671</v>
      </c>
      <c r="B159" s="30">
        <v>46045.333333333299</v>
      </c>
      <c r="C159" s="30">
        <v>46065.708333333299</v>
      </c>
      <c r="D159" s="30">
        <v>46078.333333333299</v>
      </c>
      <c r="E159" s="30" t="s">
        <v>5</v>
      </c>
      <c r="F159" s="21" t="s">
        <v>328</v>
      </c>
      <c r="G159" s="25">
        <v>0.4</v>
      </c>
      <c r="H159" s="14">
        <v>145</v>
      </c>
      <c r="I159" s="18"/>
      <c r="J159" s="27">
        <v>1</v>
      </c>
      <c r="K159" s="29">
        <f t="shared" si="30"/>
        <v>20.375</v>
      </c>
      <c r="L159" s="29">
        <f t="shared" si="31"/>
        <v>0</v>
      </c>
      <c r="M159" s="19">
        <f t="shared" si="22"/>
        <v>23635</v>
      </c>
      <c r="N159" s="18">
        <f t="shared" si="23"/>
        <v>0</v>
      </c>
      <c r="O159" s="18">
        <f ca="1">IF(Table2[[#This Row],[BL Project Start]]&gt;$B$2, 0,M159)</f>
        <v>23635</v>
      </c>
      <c r="P159" s="18">
        <f t="shared" si="24"/>
        <v>9454</v>
      </c>
      <c r="Q159" s="14" t="str">
        <f t="shared" si="25"/>
        <v/>
      </c>
      <c r="R159" s="28">
        <f t="shared" ca="1" si="26"/>
        <v>0.4</v>
      </c>
      <c r="S159" s="23">
        <f t="shared" si="27"/>
        <v>9454</v>
      </c>
      <c r="T159" s="23">
        <f t="shared" ca="1" si="28"/>
        <v>-14181</v>
      </c>
      <c r="U159" s="23">
        <f t="shared" si="29"/>
        <v>14181</v>
      </c>
      <c r="V159" s="33">
        <f t="shared" si="32"/>
        <v>46081</v>
      </c>
    </row>
    <row r="160" spans="1:22" ht="14.5" x14ac:dyDescent="0.35">
      <c r="A160" s="32" t="s">
        <v>345</v>
      </c>
      <c r="B160" s="30">
        <v>46071.333333333299</v>
      </c>
      <c r="C160" s="30">
        <v>46091.708333333299</v>
      </c>
      <c r="D160" s="30" t="s">
        <v>5</v>
      </c>
      <c r="E160" s="30" t="s">
        <v>5</v>
      </c>
      <c r="F160" s="21" t="s">
        <v>328</v>
      </c>
      <c r="G160" s="25">
        <v>0</v>
      </c>
      <c r="H160" s="14">
        <v>145</v>
      </c>
      <c r="I160" s="18"/>
      <c r="J160" s="27">
        <v>1</v>
      </c>
      <c r="K160" s="29">
        <f t="shared" si="30"/>
        <v>20.375</v>
      </c>
      <c r="L160" s="29">
        <f t="shared" si="31"/>
        <v>0</v>
      </c>
      <c r="M160" s="19">
        <f t="shared" si="22"/>
        <v>23635</v>
      </c>
      <c r="N160" s="18">
        <f t="shared" si="23"/>
        <v>0</v>
      </c>
      <c r="O160" s="18">
        <f ca="1">IF(Table2[[#This Row],[BL Project Start]]&gt;$B$2, 0,M160)</f>
        <v>23635</v>
      </c>
      <c r="P160" s="18">
        <f t="shared" si="24"/>
        <v>0</v>
      </c>
      <c r="Q160" s="14" t="str">
        <f t="shared" si="25"/>
        <v/>
      </c>
      <c r="R160" s="28">
        <f t="shared" ca="1" si="26"/>
        <v>0</v>
      </c>
      <c r="S160" s="23">
        <f t="shared" si="27"/>
        <v>0</v>
      </c>
      <c r="T160" s="23">
        <f t="shared" ca="1" si="28"/>
        <v>-23635</v>
      </c>
      <c r="U160" s="23">
        <f t="shared" si="29"/>
        <v>23635</v>
      </c>
      <c r="V160" s="33">
        <f t="shared" si="32"/>
        <v>46112</v>
      </c>
    </row>
    <row r="161" spans="1:22" ht="14.5" x14ac:dyDescent="0.35">
      <c r="A161" s="32" t="s">
        <v>347</v>
      </c>
      <c r="B161" s="30">
        <v>46016.333333333299</v>
      </c>
      <c r="C161" s="30">
        <v>46043.708333333299</v>
      </c>
      <c r="D161" s="30">
        <v>46050</v>
      </c>
      <c r="E161" s="30">
        <v>46078.333333333299</v>
      </c>
      <c r="F161" s="21" t="s">
        <v>348</v>
      </c>
      <c r="G161" s="25">
        <v>1</v>
      </c>
      <c r="H161" s="14">
        <v>145</v>
      </c>
      <c r="I161" s="18"/>
      <c r="J161" s="27">
        <v>3</v>
      </c>
      <c r="K161" s="29">
        <f t="shared" si="30"/>
        <v>27.375</v>
      </c>
      <c r="L161" s="29">
        <f t="shared" si="31"/>
        <v>28.333333333299379</v>
      </c>
      <c r="M161" s="19">
        <f t="shared" si="22"/>
        <v>95265</v>
      </c>
      <c r="N161" s="18">
        <f t="shared" si="23"/>
        <v>98599.999999881838</v>
      </c>
      <c r="O161" s="18">
        <f ca="1">IF(Table2[[#This Row],[BL Project Start]]&gt;$B$2, 0,M161)</f>
        <v>95265</v>
      </c>
      <c r="P161" s="18">
        <f t="shared" si="24"/>
        <v>95265</v>
      </c>
      <c r="Q161" s="14">
        <f t="shared" si="25"/>
        <v>0.96617647058939315</v>
      </c>
      <c r="R161" s="28">
        <f t="shared" ca="1" si="26"/>
        <v>1</v>
      </c>
      <c r="S161" s="23">
        <f t="shared" si="27"/>
        <v>-3334.9999998818384</v>
      </c>
      <c r="T161" s="23">
        <f t="shared" ca="1" si="28"/>
        <v>0</v>
      </c>
      <c r="U161" s="23">
        <f t="shared" si="29"/>
        <v>98599.999999881838</v>
      </c>
      <c r="V161" s="33">
        <f t="shared" si="32"/>
        <v>46053</v>
      </c>
    </row>
    <row r="162" spans="1:22" ht="14.5" x14ac:dyDescent="0.35">
      <c r="A162" s="32" t="s">
        <v>350</v>
      </c>
      <c r="B162" s="30">
        <v>46035.333333333299</v>
      </c>
      <c r="C162" s="30">
        <v>46062.708333333299</v>
      </c>
      <c r="D162" s="30">
        <v>46066</v>
      </c>
      <c r="E162" s="30">
        <v>46107.708333333299</v>
      </c>
      <c r="F162" s="21" t="s">
        <v>348</v>
      </c>
      <c r="G162" s="25">
        <v>1</v>
      </c>
      <c r="H162" s="14">
        <v>145</v>
      </c>
      <c r="I162" s="18"/>
      <c r="J162" s="27">
        <v>1</v>
      </c>
      <c r="K162" s="29">
        <f t="shared" si="30"/>
        <v>27.375</v>
      </c>
      <c r="L162" s="29">
        <f t="shared" si="31"/>
        <v>41.708333333299379</v>
      </c>
      <c r="M162" s="19">
        <f t="shared" si="22"/>
        <v>31755</v>
      </c>
      <c r="N162" s="18">
        <f t="shared" si="23"/>
        <v>48381.666666627279</v>
      </c>
      <c r="O162" s="18">
        <f ca="1">IF(Table2[[#This Row],[BL Project Start]]&gt;$B$2, 0,M162)</f>
        <v>31755</v>
      </c>
      <c r="P162" s="18">
        <f t="shared" si="24"/>
        <v>31755</v>
      </c>
      <c r="Q162" s="14">
        <f t="shared" si="25"/>
        <v>0.65634365634419067</v>
      </c>
      <c r="R162" s="28">
        <f t="shared" ca="1" si="26"/>
        <v>1</v>
      </c>
      <c r="S162" s="23">
        <f t="shared" si="27"/>
        <v>-16626.666666627279</v>
      </c>
      <c r="T162" s="23">
        <f t="shared" ca="1" si="28"/>
        <v>0</v>
      </c>
      <c r="U162" s="23">
        <f t="shared" si="29"/>
        <v>48381.666666627279</v>
      </c>
      <c r="V162" s="33">
        <f t="shared" si="32"/>
        <v>46081</v>
      </c>
    </row>
    <row r="163" spans="1:22" ht="14.5" x14ac:dyDescent="0.35">
      <c r="A163" s="32" t="s">
        <v>352</v>
      </c>
      <c r="B163" s="30">
        <v>46024.333333333299</v>
      </c>
      <c r="C163" s="30">
        <v>46037.708333333299</v>
      </c>
      <c r="D163" s="30">
        <v>46024.333333333299</v>
      </c>
      <c r="E163" s="30">
        <v>46038.708333333299</v>
      </c>
      <c r="F163" s="21" t="s">
        <v>348</v>
      </c>
      <c r="G163" s="25">
        <v>1</v>
      </c>
      <c r="H163" s="14">
        <v>145</v>
      </c>
      <c r="I163" s="18"/>
      <c r="J163" s="27">
        <v>1</v>
      </c>
      <c r="K163" s="29">
        <f t="shared" si="30"/>
        <v>13.375</v>
      </c>
      <c r="L163" s="29">
        <f t="shared" si="31"/>
        <v>14.375</v>
      </c>
      <c r="M163" s="19">
        <f t="shared" si="22"/>
        <v>15515</v>
      </c>
      <c r="N163" s="18">
        <f t="shared" si="23"/>
        <v>16675</v>
      </c>
      <c r="O163" s="18">
        <f ca="1">IF(Table2[[#This Row],[BL Project Start]]&gt;$B$2, 0,M163)</f>
        <v>15515</v>
      </c>
      <c r="P163" s="18">
        <f t="shared" si="24"/>
        <v>15515</v>
      </c>
      <c r="Q163" s="14">
        <f t="shared" si="25"/>
        <v>0.93043478260869561</v>
      </c>
      <c r="R163" s="28">
        <f t="shared" ca="1" si="26"/>
        <v>1</v>
      </c>
      <c r="S163" s="23">
        <f t="shared" si="27"/>
        <v>-1160</v>
      </c>
      <c r="T163" s="23">
        <f t="shared" ca="1" si="28"/>
        <v>0</v>
      </c>
      <c r="U163" s="23">
        <f t="shared" si="29"/>
        <v>16675</v>
      </c>
      <c r="V163" s="33">
        <f t="shared" si="32"/>
        <v>46053</v>
      </c>
    </row>
    <row r="164" spans="1:22" ht="14.5" x14ac:dyDescent="0.35">
      <c r="A164" s="32" t="s">
        <v>354</v>
      </c>
      <c r="B164" s="30">
        <v>46049.333333333299</v>
      </c>
      <c r="C164" s="30">
        <v>46059.708333333299</v>
      </c>
      <c r="D164" s="30">
        <v>46049.333333333299</v>
      </c>
      <c r="E164" s="30">
        <v>46059.708333333299</v>
      </c>
      <c r="F164" s="21" t="s">
        <v>348</v>
      </c>
      <c r="G164" s="25">
        <v>1</v>
      </c>
      <c r="H164" s="14">
        <v>145</v>
      </c>
      <c r="I164" s="18"/>
      <c r="J164" s="27">
        <v>3</v>
      </c>
      <c r="K164" s="29">
        <f t="shared" si="30"/>
        <v>10.375</v>
      </c>
      <c r="L164" s="29">
        <f t="shared" si="31"/>
        <v>10.375</v>
      </c>
      <c r="M164" s="19">
        <f t="shared" si="22"/>
        <v>36105</v>
      </c>
      <c r="N164" s="18">
        <f t="shared" si="23"/>
        <v>36105</v>
      </c>
      <c r="O164" s="18">
        <f ca="1">IF(Table2[[#This Row],[BL Project Start]]&gt;$B$2, 0,M164)</f>
        <v>36105</v>
      </c>
      <c r="P164" s="18">
        <f t="shared" si="24"/>
        <v>36105</v>
      </c>
      <c r="Q164" s="14">
        <f t="shared" si="25"/>
        <v>1</v>
      </c>
      <c r="R164" s="28">
        <f t="shared" ca="1" si="26"/>
        <v>1</v>
      </c>
      <c r="S164" s="23">
        <f t="shared" si="27"/>
        <v>0</v>
      </c>
      <c r="T164" s="23">
        <f t="shared" ca="1" si="28"/>
        <v>0</v>
      </c>
      <c r="U164" s="23">
        <f t="shared" si="29"/>
        <v>36105</v>
      </c>
      <c r="V164" s="33">
        <f t="shared" si="32"/>
        <v>46081</v>
      </c>
    </row>
    <row r="165" spans="1:22" ht="14.5" x14ac:dyDescent="0.35">
      <c r="A165" s="32" t="s">
        <v>356</v>
      </c>
      <c r="B165" s="30">
        <v>46092.333333333299</v>
      </c>
      <c r="C165" s="30">
        <v>46105.708333333299</v>
      </c>
      <c r="D165" s="30" t="s">
        <v>5</v>
      </c>
      <c r="E165" s="30" t="s">
        <v>5</v>
      </c>
      <c r="F165" s="21" t="s">
        <v>357</v>
      </c>
      <c r="G165" s="25">
        <v>0</v>
      </c>
      <c r="H165" s="14">
        <v>145</v>
      </c>
      <c r="I165" s="18"/>
      <c r="J165" s="27">
        <v>1</v>
      </c>
      <c r="K165" s="29">
        <f t="shared" si="30"/>
        <v>13.375</v>
      </c>
      <c r="L165" s="29">
        <f t="shared" si="31"/>
        <v>0</v>
      </c>
      <c r="M165" s="19">
        <f t="shared" si="22"/>
        <v>15515</v>
      </c>
      <c r="N165" s="18">
        <f t="shared" si="23"/>
        <v>0</v>
      </c>
      <c r="O165" s="18">
        <f ca="1">IF(Table2[[#This Row],[BL Project Start]]&gt;$B$2, 0,M165)</f>
        <v>0</v>
      </c>
      <c r="P165" s="18">
        <f t="shared" si="24"/>
        <v>0</v>
      </c>
      <c r="Q165" s="14" t="str">
        <f t="shared" si="25"/>
        <v/>
      </c>
      <c r="R165" s="28" t="str">
        <f t="shared" ca="1" si="26"/>
        <v/>
      </c>
      <c r="S165" s="23">
        <f t="shared" si="27"/>
        <v>0</v>
      </c>
      <c r="T165" s="23">
        <f t="shared" ca="1" si="28"/>
        <v>0</v>
      </c>
      <c r="U165" s="23">
        <f t="shared" si="29"/>
        <v>15515</v>
      </c>
      <c r="V165" s="33">
        <f t="shared" si="32"/>
        <v>46112</v>
      </c>
    </row>
    <row r="166" spans="1:22" ht="14.5" x14ac:dyDescent="0.35">
      <c r="A166" s="32" t="s">
        <v>359</v>
      </c>
      <c r="B166" s="30">
        <v>46106.333333333299</v>
      </c>
      <c r="C166" s="30">
        <v>46126.708333333299</v>
      </c>
      <c r="D166" s="30" t="s">
        <v>5</v>
      </c>
      <c r="E166" s="30" t="s">
        <v>5</v>
      </c>
      <c r="F166" s="21" t="s">
        <v>357</v>
      </c>
      <c r="G166" s="25">
        <v>0</v>
      </c>
      <c r="H166" s="14">
        <v>145</v>
      </c>
      <c r="I166" s="18"/>
      <c r="J166" s="27">
        <v>1</v>
      </c>
      <c r="K166" s="29">
        <f t="shared" si="30"/>
        <v>20.375</v>
      </c>
      <c r="L166" s="29">
        <f t="shared" si="31"/>
        <v>0</v>
      </c>
      <c r="M166" s="19">
        <f t="shared" si="22"/>
        <v>23635</v>
      </c>
      <c r="N166" s="18">
        <f t="shared" si="23"/>
        <v>0</v>
      </c>
      <c r="O166" s="18">
        <f ca="1">IF(Table2[[#This Row],[BL Project Start]]&gt;$B$2, 0,M166)</f>
        <v>0</v>
      </c>
      <c r="P166" s="18">
        <f t="shared" si="24"/>
        <v>0</v>
      </c>
      <c r="Q166" s="14" t="str">
        <f t="shared" si="25"/>
        <v/>
      </c>
      <c r="R166" s="28" t="str">
        <f t="shared" ca="1" si="26"/>
        <v/>
      </c>
      <c r="S166" s="23">
        <f t="shared" si="27"/>
        <v>0</v>
      </c>
      <c r="T166" s="23">
        <f t="shared" ca="1" si="28"/>
        <v>0</v>
      </c>
      <c r="U166" s="23">
        <f t="shared" si="29"/>
        <v>23635</v>
      </c>
      <c r="V166" s="33">
        <f t="shared" si="32"/>
        <v>46142</v>
      </c>
    </row>
    <row r="167" spans="1:22" ht="14.5" x14ac:dyDescent="0.35">
      <c r="A167" s="32" t="s">
        <v>361</v>
      </c>
      <c r="B167" s="30">
        <v>46016.333333333299</v>
      </c>
      <c r="C167" s="30">
        <v>46041.708333333299</v>
      </c>
      <c r="D167" s="30">
        <v>46066.333333333299</v>
      </c>
      <c r="E167" s="30" t="s">
        <v>5</v>
      </c>
      <c r="F167" s="21" t="s">
        <v>310</v>
      </c>
      <c r="G167" s="25">
        <v>0</v>
      </c>
      <c r="H167" s="14">
        <v>140</v>
      </c>
      <c r="I167" s="18"/>
      <c r="J167" s="27">
        <v>1</v>
      </c>
      <c r="K167" s="29">
        <f t="shared" si="30"/>
        <v>25.375</v>
      </c>
      <c r="L167" s="29">
        <f t="shared" si="31"/>
        <v>0</v>
      </c>
      <c r="M167" s="19">
        <f t="shared" si="22"/>
        <v>28420</v>
      </c>
      <c r="N167" s="18">
        <f t="shared" si="23"/>
        <v>0</v>
      </c>
      <c r="O167" s="18">
        <f ca="1">IF(Table2[[#This Row],[BL Project Start]]&gt;$B$2, 0,M167)</f>
        <v>28420</v>
      </c>
      <c r="P167" s="18">
        <f t="shared" si="24"/>
        <v>0</v>
      </c>
      <c r="Q167" s="14" t="str">
        <f t="shared" si="25"/>
        <v/>
      </c>
      <c r="R167" s="28">
        <f t="shared" ca="1" si="26"/>
        <v>0</v>
      </c>
      <c r="S167" s="23">
        <f t="shared" si="27"/>
        <v>0</v>
      </c>
      <c r="T167" s="23">
        <f t="shared" ca="1" si="28"/>
        <v>-28420</v>
      </c>
      <c r="U167" s="23">
        <f t="shared" si="29"/>
        <v>28420</v>
      </c>
      <c r="V167" s="33">
        <f t="shared" si="32"/>
        <v>46053</v>
      </c>
    </row>
    <row r="168" spans="1:22" ht="14.5" x14ac:dyDescent="0.35">
      <c r="A168" s="32" t="s">
        <v>363</v>
      </c>
      <c r="B168" s="30">
        <v>46077.333333333299</v>
      </c>
      <c r="C168" s="30">
        <v>46090.708333333299</v>
      </c>
      <c r="D168" s="30" t="s">
        <v>5</v>
      </c>
      <c r="E168" s="30" t="s">
        <v>5</v>
      </c>
      <c r="F168" s="21" t="s">
        <v>310</v>
      </c>
      <c r="G168" s="25">
        <v>0</v>
      </c>
      <c r="H168" s="14">
        <v>140</v>
      </c>
      <c r="I168" s="18"/>
      <c r="J168" s="27">
        <v>1</v>
      </c>
      <c r="K168" s="29">
        <f t="shared" si="30"/>
        <v>13.375</v>
      </c>
      <c r="L168" s="29">
        <f t="shared" si="31"/>
        <v>0</v>
      </c>
      <c r="M168" s="19">
        <f t="shared" si="22"/>
        <v>14980</v>
      </c>
      <c r="N168" s="18">
        <f t="shared" si="23"/>
        <v>0</v>
      </c>
      <c r="O168" s="18">
        <f ca="1">IF(Table2[[#This Row],[BL Project Start]]&gt;$B$2, 0,M168)</f>
        <v>14980</v>
      </c>
      <c r="P168" s="18">
        <f t="shared" si="24"/>
        <v>0</v>
      </c>
      <c r="Q168" s="14" t="str">
        <f t="shared" si="25"/>
        <v/>
      </c>
      <c r="R168" s="28">
        <f t="shared" ca="1" si="26"/>
        <v>0</v>
      </c>
      <c r="S168" s="23">
        <f t="shared" si="27"/>
        <v>0</v>
      </c>
      <c r="T168" s="23">
        <f t="shared" ca="1" si="28"/>
        <v>-14980</v>
      </c>
      <c r="U168" s="23">
        <f t="shared" si="29"/>
        <v>14980</v>
      </c>
      <c r="V168" s="33">
        <f t="shared" si="32"/>
        <v>46112</v>
      </c>
    </row>
    <row r="169" spans="1:22" ht="14.5" x14ac:dyDescent="0.35">
      <c r="A169" s="32" t="s">
        <v>672</v>
      </c>
      <c r="B169" s="30">
        <v>46091.333333333299</v>
      </c>
      <c r="C169" s="30">
        <v>46111.708333333299</v>
      </c>
      <c r="D169" s="30" t="s">
        <v>5</v>
      </c>
      <c r="E169" s="30" t="s">
        <v>5</v>
      </c>
      <c r="F169" s="21" t="s">
        <v>310</v>
      </c>
      <c r="G169" s="25">
        <v>0</v>
      </c>
      <c r="H169" s="14">
        <v>140</v>
      </c>
      <c r="I169" s="18"/>
      <c r="J169" s="27">
        <v>1</v>
      </c>
      <c r="K169" s="29">
        <f t="shared" si="30"/>
        <v>20.375</v>
      </c>
      <c r="L169" s="29">
        <f t="shared" si="31"/>
        <v>0</v>
      </c>
      <c r="M169" s="19">
        <f t="shared" si="22"/>
        <v>22820</v>
      </c>
      <c r="N169" s="18">
        <f t="shared" si="23"/>
        <v>0</v>
      </c>
      <c r="O169" s="18">
        <f ca="1">IF(Table2[[#This Row],[BL Project Start]]&gt;$B$2, 0,M169)</f>
        <v>0</v>
      </c>
      <c r="P169" s="18">
        <f t="shared" si="24"/>
        <v>0</v>
      </c>
      <c r="Q169" s="14" t="str">
        <f t="shared" si="25"/>
        <v/>
      </c>
      <c r="R169" s="28" t="str">
        <f t="shared" ca="1" si="26"/>
        <v/>
      </c>
      <c r="S169" s="23">
        <f t="shared" si="27"/>
        <v>0</v>
      </c>
      <c r="T169" s="23">
        <f t="shared" ca="1" si="28"/>
        <v>0</v>
      </c>
      <c r="U169" s="23">
        <f t="shared" si="29"/>
        <v>22820</v>
      </c>
      <c r="V169" s="33">
        <f t="shared" si="32"/>
        <v>46112</v>
      </c>
    </row>
    <row r="170" spans="1:22" ht="14.5" x14ac:dyDescent="0.35">
      <c r="A170" s="32" t="s">
        <v>367</v>
      </c>
      <c r="B170" s="30">
        <v>46091.333333333299</v>
      </c>
      <c r="C170" s="30">
        <v>46132.708333333299</v>
      </c>
      <c r="D170" s="30" t="s">
        <v>5</v>
      </c>
      <c r="E170" s="30" t="s">
        <v>5</v>
      </c>
      <c r="F170" s="21" t="s">
        <v>368</v>
      </c>
      <c r="G170" s="25">
        <v>0</v>
      </c>
      <c r="H170" s="14">
        <v>145</v>
      </c>
      <c r="I170" s="18"/>
      <c r="J170" s="27">
        <v>1</v>
      </c>
      <c r="K170" s="29">
        <f t="shared" si="30"/>
        <v>41.375</v>
      </c>
      <c r="L170" s="29">
        <f t="shared" si="31"/>
        <v>0</v>
      </c>
      <c r="M170" s="19">
        <f t="shared" si="22"/>
        <v>47995</v>
      </c>
      <c r="N170" s="18">
        <f t="shared" si="23"/>
        <v>0</v>
      </c>
      <c r="O170" s="18">
        <f ca="1">IF(Table2[[#This Row],[BL Project Start]]&gt;$B$2, 0,M170)</f>
        <v>0</v>
      </c>
      <c r="P170" s="18">
        <f t="shared" si="24"/>
        <v>0</v>
      </c>
      <c r="Q170" s="14" t="str">
        <f t="shared" si="25"/>
        <v/>
      </c>
      <c r="R170" s="28" t="str">
        <f t="shared" ca="1" si="26"/>
        <v/>
      </c>
      <c r="S170" s="23">
        <f t="shared" si="27"/>
        <v>0</v>
      </c>
      <c r="T170" s="23">
        <f t="shared" ca="1" si="28"/>
        <v>0</v>
      </c>
      <c r="U170" s="23">
        <f t="shared" si="29"/>
        <v>47995</v>
      </c>
      <c r="V170" s="33">
        <f t="shared" si="32"/>
        <v>46142</v>
      </c>
    </row>
    <row r="171" spans="1:22" ht="14.5" x14ac:dyDescent="0.35">
      <c r="A171" s="32" t="s">
        <v>370</v>
      </c>
      <c r="B171" s="30">
        <v>46024.333333333299</v>
      </c>
      <c r="C171" s="30" t="s">
        <v>5</v>
      </c>
      <c r="D171" s="30">
        <v>46058.333333333299</v>
      </c>
      <c r="E171" s="30" t="s">
        <v>5</v>
      </c>
      <c r="F171" s="21" t="s">
        <v>5</v>
      </c>
      <c r="G171" s="25">
        <v>1</v>
      </c>
      <c r="H171" s="14" t="s">
        <v>5</v>
      </c>
      <c r="I171" s="18"/>
      <c r="J171" s="27">
        <v>1</v>
      </c>
      <c r="K171" s="29">
        <f t="shared" si="30"/>
        <v>0</v>
      </c>
      <c r="L171" s="29">
        <f t="shared" si="31"/>
        <v>0</v>
      </c>
      <c r="M171" s="19">
        <f t="shared" si="22"/>
        <v>0</v>
      </c>
      <c r="N171" s="18">
        <f t="shared" si="23"/>
        <v>0</v>
      </c>
      <c r="O171" s="18">
        <f ca="1">IF(Table2[[#This Row],[BL Project Start]]&gt;$B$2, 0,M171)</f>
        <v>0</v>
      </c>
      <c r="P171" s="18">
        <f t="shared" si="24"/>
        <v>0</v>
      </c>
      <c r="Q171" s="14" t="str">
        <f t="shared" si="25"/>
        <v/>
      </c>
      <c r="R171" s="28" t="str">
        <f t="shared" ca="1" si="26"/>
        <v/>
      </c>
      <c r="S171" s="23">
        <f t="shared" si="27"/>
        <v>0</v>
      </c>
      <c r="T171" s="23">
        <f t="shared" ca="1" si="28"/>
        <v>0</v>
      </c>
      <c r="U171" s="23">
        <f t="shared" si="29"/>
        <v>0</v>
      </c>
      <c r="V171" s="33">
        <f t="shared" si="32"/>
        <v>46053</v>
      </c>
    </row>
    <row r="172" spans="1:22" ht="14.5" x14ac:dyDescent="0.35">
      <c r="A172" s="32" t="s">
        <v>373</v>
      </c>
      <c r="B172" s="30">
        <v>46133.333333333299</v>
      </c>
      <c r="C172" s="30">
        <v>46146.708333333299</v>
      </c>
      <c r="D172" s="30" t="s">
        <v>5</v>
      </c>
      <c r="E172" s="30" t="s">
        <v>5</v>
      </c>
      <c r="F172" s="21" t="s">
        <v>371</v>
      </c>
      <c r="G172" s="25">
        <v>0</v>
      </c>
      <c r="H172" s="14">
        <v>150</v>
      </c>
      <c r="I172" s="18"/>
      <c r="J172" s="27">
        <v>1</v>
      </c>
      <c r="K172" s="29">
        <f t="shared" si="30"/>
        <v>13.375</v>
      </c>
      <c r="L172" s="29">
        <f t="shared" si="31"/>
        <v>0</v>
      </c>
      <c r="M172" s="19">
        <f t="shared" si="22"/>
        <v>16050</v>
      </c>
      <c r="N172" s="18">
        <f t="shared" si="23"/>
        <v>0</v>
      </c>
      <c r="O172" s="18">
        <f ca="1">IF(Table2[[#This Row],[BL Project Start]]&gt;$B$2, 0,M172)</f>
        <v>0</v>
      </c>
      <c r="P172" s="18">
        <f t="shared" si="24"/>
        <v>0</v>
      </c>
      <c r="Q172" s="14" t="str">
        <f t="shared" si="25"/>
        <v/>
      </c>
      <c r="R172" s="28" t="str">
        <f t="shared" ca="1" si="26"/>
        <v/>
      </c>
      <c r="S172" s="23">
        <f t="shared" si="27"/>
        <v>0</v>
      </c>
      <c r="T172" s="23">
        <f t="shared" ca="1" si="28"/>
        <v>0</v>
      </c>
      <c r="U172" s="23">
        <f t="shared" si="29"/>
        <v>16050</v>
      </c>
      <c r="V172" s="33">
        <f t="shared" si="32"/>
        <v>46173</v>
      </c>
    </row>
    <row r="173" spans="1:22" ht="14.5" x14ac:dyDescent="0.35">
      <c r="A173" s="32" t="s">
        <v>375</v>
      </c>
      <c r="B173" s="30">
        <v>46147.333333333299</v>
      </c>
      <c r="C173" s="30">
        <v>46153.708333333299</v>
      </c>
      <c r="D173" s="30" t="s">
        <v>5</v>
      </c>
      <c r="E173" s="30" t="s">
        <v>5</v>
      </c>
      <c r="F173" s="21" t="s">
        <v>376</v>
      </c>
      <c r="G173" s="25">
        <v>0</v>
      </c>
      <c r="H173" s="14">
        <v>90</v>
      </c>
      <c r="I173" s="18"/>
      <c r="J173" s="27">
        <v>1</v>
      </c>
      <c r="K173" s="29">
        <f t="shared" si="30"/>
        <v>6.375</v>
      </c>
      <c r="L173" s="29">
        <f t="shared" si="31"/>
        <v>0</v>
      </c>
      <c r="M173" s="19">
        <f t="shared" si="22"/>
        <v>4590</v>
      </c>
      <c r="N173" s="18">
        <f t="shared" si="23"/>
        <v>0</v>
      </c>
      <c r="O173" s="18">
        <f ca="1">IF(Table2[[#This Row],[BL Project Start]]&gt;$B$2, 0,M173)</f>
        <v>0</v>
      </c>
      <c r="P173" s="18">
        <f t="shared" si="24"/>
        <v>0</v>
      </c>
      <c r="Q173" s="14" t="str">
        <f t="shared" si="25"/>
        <v/>
      </c>
      <c r="R173" s="28" t="str">
        <f t="shared" ca="1" si="26"/>
        <v/>
      </c>
      <c r="S173" s="23">
        <f t="shared" si="27"/>
        <v>0</v>
      </c>
      <c r="T173" s="23">
        <f t="shared" ca="1" si="28"/>
        <v>0</v>
      </c>
      <c r="U173" s="23">
        <f t="shared" si="29"/>
        <v>4590</v>
      </c>
      <c r="V173" s="33">
        <f t="shared" si="32"/>
        <v>46173</v>
      </c>
    </row>
    <row r="174" spans="1:22" ht="14.5" x14ac:dyDescent="0.35">
      <c r="A174" s="32" t="s">
        <v>378</v>
      </c>
      <c r="B174" s="30">
        <v>46154.333333333299</v>
      </c>
      <c r="C174" s="30" t="s">
        <v>5</v>
      </c>
      <c r="D174" s="30" t="s">
        <v>5</v>
      </c>
      <c r="E174" s="30" t="s">
        <v>5</v>
      </c>
      <c r="F174" s="21" t="s">
        <v>5</v>
      </c>
      <c r="G174" s="25">
        <v>0</v>
      </c>
      <c r="H174" s="14" t="s">
        <v>5</v>
      </c>
      <c r="I174" s="18"/>
      <c r="J174" s="27">
        <v>1</v>
      </c>
      <c r="K174" s="29">
        <f t="shared" si="30"/>
        <v>0</v>
      </c>
      <c r="L174" s="29">
        <f t="shared" si="31"/>
        <v>0</v>
      </c>
      <c r="M174" s="19">
        <f t="shared" si="22"/>
        <v>0</v>
      </c>
      <c r="N174" s="18">
        <f t="shared" si="23"/>
        <v>0</v>
      </c>
      <c r="O174" s="18">
        <f ca="1">IF(Table2[[#This Row],[BL Project Start]]&gt;$B$2, 0,M174)</f>
        <v>0</v>
      </c>
      <c r="P174" s="18">
        <f t="shared" si="24"/>
        <v>0</v>
      </c>
      <c r="Q174" s="14" t="str">
        <f t="shared" si="25"/>
        <v/>
      </c>
      <c r="R174" s="28" t="str">
        <f t="shared" ca="1" si="26"/>
        <v/>
      </c>
      <c r="S174" s="23">
        <f t="shared" si="27"/>
        <v>0</v>
      </c>
      <c r="T174" s="23">
        <f t="shared" ca="1" si="28"/>
        <v>0</v>
      </c>
      <c r="U174" s="23">
        <f t="shared" si="29"/>
        <v>0</v>
      </c>
      <c r="V174" s="33">
        <f t="shared" si="32"/>
        <v>46173</v>
      </c>
    </row>
    <row r="175" spans="1:22" ht="14.5" x14ac:dyDescent="0.35">
      <c r="A175" s="32" t="s">
        <v>380</v>
      </c>
      <c r="B175" s="30">
        <v>45833.333333333299</v>
      </c>
      <c r="C175" s="30">
        <v>45842.708333333299</v>
      </c>
      <c r="D175" s="30">
        <v>45833.333333333299</v>
      </c>
      <c r="E175" s="30">
        <v>45842</v>
      </c>
      <c r="F175" s="21" t="s">
        <v>381</v>
      </c>
      <c r="G175" s="25">
        <v>1</v>
      </c>
      <c r="H175" s="14">
        <v>140</v>
      </c>
      <c r="I175" s="18"/>
      <c r="J175" s="27">
        <v>1</v>
      </c>
      <c r="K175" s="29">
        <f t="shared" si="30"/>
        <v>9.375</v>
      </c>
      <c r="L175" s="29">
        <f t="shared" si="31"/>
        <v>8.6666666667006211</v>
      </c>
      <c r="M175" s="19">
        <f t="shared" si="22"/>
        <v>10500</v>
      </c>
      <c r="N175" s="18">
        <f t="shared" si="23"/>
        <v>9706.6666667046957</v>
      </c>
      <c r="O175" s="18">
        <f ca="1">IF(Table2[[#This Row],[BL Project Start]]&gt;$B$2, 0,M175)</f>
        <v>10500</v>
      </c>
      <c r="P175" s="18">
        <f t="shared" si="24"/>
        <v>10500</v>
      </c>
      <c r="Q175" s="14">
        <f t="shared" si="25"/>
        <v>1.0817307692265312</v>
      </c>
      <c r="R175" s="28">
        <f t="shared" ca="1" si="26"/>
        <v>1</v>
      </c>
      <c r="S175" s="23">
        <f t="shared" si="27"/>
        <v>793.33333329530433</v>
      </c>
      <c r="T175" s="23">
        <f t="shared" ca="1" si="28"/>
        <v>0</v>
      </c>
      <c r="U175" s="23">
        <f t="shared" si="29"/>
        <v>9706.6666667046957</v>
      </c>
      <c r="V175" s="33">
        <f t="shared" si="32"/>
        <v>45869</v>
      </c>
    </row>
    <row r="176" spans="1:22" ht="14.5" x14ac:dyDescent="0.35">
      <c r="A176" s="32" t="s">
        <v>673</v>
      </c>
      <c r="B176" s="30">
        <v>45845.333333333299</v>
      </c>
      <c r="C176" s="30">
        <v>45853.708333333299</v>
      </c>
      <c r="D176" s="30">
        <v>45845.333333333299</v>
      </c>
      <c r="E176" s="30">
        <v>45853.708333333299</v>
      </c>
      <c r="F176" s="21" t="s">
        <v>384</v>
      </c>
      <c r="G176" s="25">
        <v>1</v>
      </c>
      <c r="H176" s="14">
        <v>125</v>
      </c>
      <c r="I176" s="18"/>
      <c r="J176" s="27">
        <v>1</v>
      </c>
      <c r="K176" s="29">
        <f t="shared" si="30"/>
        <v>8.375</v>
      </c>
      <c r="L176" s="29">
        <f t="shared" si="31"/>
        <v>8.375</v>
      </c>
      <c r="M176" s="19">
        <f t="shared" si="22"/>
        <v>8375</v>
      </c>
      <c r="N176" s="18">
        <f t="shared" si="23"/>
        <v>8375</v>
      </c>
      <c r="O176" s="18">
        <f ca="1">IF(Table2[[#This Row],[BL Project Start]]&gt;$B$2, 0,M176)</f>
        <v>8375</v>
      </c>
      <c r="P176" s="18">
        <f t="shared" si="24"/>
        <v>8375</v>
      </c>
      <c r="Q176" s="14">
        <f t="shared" si="25"/>
        <v>1</v>
      </c>
      <c r="R176" s="28">
        <f t="shared" ca="1" si="26"/>
        <v>1</v>
      </c>
      <c r="S176" s="23">
        <f t="shared" si="27"/>
        <v>0</v>
      </c>
      <c r="T176" s="23">
        <f t="shared" ca="1" si="28"/>
        <v>0</v>
      </c>
      <c r="U176" s="23">
        <f t="shared" si="29"/>
        <v>8375</v>
      </c>
      <c r="V176" s="33">
        <f t="shared" si="32"/>
        <v>45869</v>
      </c>
    </row>
    <row r="177" spans="1:22" ht="14.5" x14ac:dyDescent="0.35">
      <c r="A177" s="32" t="s">
        <v>386</v>
      </c>
      <c r="B177" s="30">
        <v>45854.333333333299</v>
      </c>
      <c r="C177" s="30">
        <v>45873.708333333299</v>
      </c>
      <c r="D177" s="30">
        <v>45854.333333333299</v>
      </c>
      <c r="E177" s="30">
        <v>45873.708333333299</v>
      </c>
      <c r="F177" s="21" t="s">
        <v>384</v>
      </c>
      <c r="G177" s="25">
        <v>1</v>
      </c>
      <c r="H177" s="14">
        <v>125</v>
      </c>
      <c r="I177" s="18"/>
      <c r="J177" s="27">
        <v>4</v>
      </c>
      <c r="K177" s="29">
        <f t="shared" si="30"/>
        <v>19.375</v>
      </c>
      <c r="L177" s="29">
        <f t="shared" si="31"/>
        <v>19.375</v>
      </c>
      <c r="M177" s="19">
        <f t="shared" si="22"/>
        <v>77500</v>
      </c>
      <c r="N177" s="18">
        <f t="shared" si="23"/>
        <v>77500</v>
      </c>
      <c r="O177" s="18">
        <f ca="1">IF(Table2[[#This Row],[BL Project Start]]&gt;$B$2, 0,M177)</f>
        <v>77500</v>
      </c>
      <c r="P177" s="18">
        <f t="shared" si="24"/>
        <v>77500</v>
      </c>
      <c r="Q177" s="14">
        <f t="shared" si="25"/>
        <v>1</v>
      </c>
      <c r="R177" s="28">
        <f t="shared" ca="1" si="26"/>
        <v>1</v>
      </c>
      <c r="S177" s="23">
        <f t="shared" si="27"/>
        <v>0</v>
      </c>
      <c r="T177" s="23">
        <f t="shared" ca="1" si="28"/>
        <v>0</v>
      </c>
      <c r="U177" s="23">
        <f t="shared" si="29"/>
        <v>77500</v>
      </c>
      <c r="V177" s="33">
        <f t="shared" si="32"/>
        <v>45900</v>
      </c>
    </row>
    <row r="178" spans="1:22" ht="14.5" x14ac:dyDescent="0.35">
      <c r="A178" s="32" t="s">
        <v>388</v>
      </c>
      <c r="B178" s="30">
        <v>45874.333333333299</v>
      </c>
      <c r="C178" s="30">
        <v>45888.708333333299</v>
      </c>
      <c r="D178" s="30">
        <v>45874.333333333299</v>
      </c>
      <c r="E178" s="30">
        <v>45888.708333333299</v>
      </c>
      <c r="F178" s="21" t="s">
        <v>384</v>
      </c>
      <c r="G178" s="25">
        <v>1</v>
      </c>
      <c r="H178" s="14">
        <v>125</v>
      </c>
      <c r="I178" s="18"/>
      <c r="J178" s="27">
        <v>1</v>
      </c>
      <c r="K178" s="29">
        <f t="shared" si="30"/>
        <v>14.375</v>
      </c>
      <c r="L178" s="29">
        <f t="shared" si="31"/>
        <v>14.375</v>
      </c>
      <c r="M178" s="19">
        <f t="shared" si="22"/>
        <v>14375</v>
      </c>
      <c r="N178" s="18">
        <f t="shared" si="23"/>
        <v>14375</v>
      </c>
      <c r="O178" s="18">
        <f ca="1">IF(Table2[[#This Row],[BL Project Start]]&gt;$B$2, 0,M178)</f>
        <v>14375</v>
      </c>
      <c r="P178" s="18">
        <f t="shared" si="24"/>
        <v>14375</v>
      </c>
      <c r="Q178" s="14">
        <f t="shared" si="25"/>
        <v>1</v>
      </c>
      <c r="R178" s="28">
        <f t="shared" ca="1" si="26"/>
        <v>1</v>
      </c>
      <c r="S178" s="23">
        <f t="shared" si="27"/>
        <v>0</v>
      </c>
      <c r="T178" s="23">
        <f t="shared" ca="1" si="28"/>
        <v>0</v>
      </c>
      <c r="U178" s="23">
        <f t="shared" si="29"/>
        <v>14375</v>
      </c>
      <c r="V178" s="33">
        <f t="shared" si="32"/>
        <v>45900</v>
      </c>
    </row>
    <row r="179" spans="1:22" ht="14.5" x14ac:dyDescent="0.35">
      <c r="A179" s="32" t="s">
        <v>390</v>
      </c>
      <c r="B179" s="30">
        <v>45889.333333333299</v>
      </c>
      <c r="C179" s="30">
        <v>45905.708333333299</v>
      </c>
      <c r="D179" s="30">
        <v>45889.333333333299</v>
      </c>
      <c r="E179" s="30">
        <v>45905.708333333299</v>
      </c>
      <c r="F179" s="21" t="s">
        <v>391</v>
      </c>
      <c r="G179" s="25">
        <v>1</v>
      </c>
      <c r="H179" s="14">
        <v>130</v>
      </c>
      <c r="I179" s="18"/>
      <c r="J179" s="27">
        <v>3</v>
      </c>
      <c r="K179" s="29">
        <f t="shared" si="30"/>
        <v>16.375</v>
      </c>
      <c r="L179" s="29">
        <f t="shared" si="31"/>
        <v>16.375</v>
      </c>
      <c r="M179" s="19">
        <f t="shared" si="22"/>
        <v>51090</v>
      </c>
      <c r="N179" s="18">
        <f t="shared" si="23"/>
        <v>51090</v>
      </c>
      <c r="O179" s="18">
        <f ca="1">IF(Table2[[#This Row],[BL Project Start]]&gt;$B$2, 0,M179)</f>
        <v>51090</v>
      </c>
      <c r="P179" s="18">
        <f t="shared" si="24"/>
        <v>51090</v>
      </c>
      <c r="Q179" s="14">
        <f t="shared" si="25"/>
        <v>1</v>
      </c>
      <c r="R179" s="28">
        <f t="shared" ca="1" si="26"/>
        <v>1</v>
      </c>
      <c r="S179" s="23">
        <f t="shared" si="27"/>
        <v>0</v>
      </c>
      <c r="T179" s="23">
        <f t="shared" ca="1" si="28"/>
        <v>0</v>
      </c>
      <c r="U179" s="23">
        <f t="shared" si="29"/>
        <v>51090</v>
      </c>
      <c r="V179" s="33">
        <f t="shared" si="32"/>
        <v>45930</v>
      </c>
    </row>
    <row r="180" spans="1:22" ht="14.5" x14ac:dyDescent="0.35">
      <c r="A180" s="32" t="s">
        <v>393</v>
      </c>
      <c r="B180" s="30">
        <v>45908.333333333299</v>
      </c>
      <c r="C180" s="30">
        <v>45917.708333333299</v>
      </c>
      <c r="D180" s="30">
        <v>45908.333333333299</v>
      </c>
      <c r="E180" s="30">
        <v>45917.708333333299</v>
      </c>
      <c r="F180" s="21" t="s">
        <v>394</v>
      </c>
      <c r="G180" s="25">
        <v>1</v>
      </c>
      <c r="H180" s="14">
        <v>140</v>
      </c>
      <c r="I180" s="18"/>
      <c r="J180" s="27">
        <v>1</v>
      </c>
      <c r="K180" s="29">
        <f t="shared" si="30"/>
        <v>9.375</v>
      </c>
      <c r="L180" s="29">
        <f t="shared" si="31"/>
        <v>9.375</v>
      </c>
      <c r="M180" s="19">
        <f t="shared" si="22"/>
        <v>10500</v>
      </c>
      <c r="N180" s="18">
        <f t="shared" si="23"/>
        <v>10500</v>
      </c>
      <c r="O180" s="18">
        <f ca="1">IF(Table2[[#This Row],[BL Project Start]]&gt;$B$2, 0,M180)</f>
        <v>10500</v>
      </c>
      <c r="P180" s="18">
        <f t="shared" si="24"/>
        <v>10500</v>
      </c>
      <c r="Q180" s="14">
        <f t="shared" si="25"/>
        <v>1</v>
      </c>
      <c r="R180" s="28">
        <f t="shared" ca="1" si="26"/>
        <v>1</v>
      </c>
      <c r="S180" s="23">
        <f t="shared" si="27"/>
        <v>0</v>
      </c>
      <c r="T180" s="23">
        <f t="shared" ca="1" si="28"/>
        <v>0</v>
      </c>
      <c r="U180" s="23">
        <f t="shared" si="29"/>
        <v>10500</v>
      </c>
      <c r="V180" s="33">
        <f t="shared" si="32"/>
        <v>45930</v>
      </c>
    </row>
    <row r="181" spans="1:22" ht="14.5" x14ac:dyDescent="0.35">
      <c r="A181" s="32" t="s">
        <v>396</v>
      </c>
      <c r="B181" s="30">
        <v>45918.333333333299</v>
      </c>
      <c r="C181" s="30">
        <v>45951.708333333299</v>
      </c>
      <c r="D181" s="30">
        <v>45918.333333333299</v>
      </c>
      <c r="E181" s="30">
        <v>45951.708333333299</v>
      </c>
      <c r="F181" s="21" t="s">
        <v>397</v>
      </c>
      <c r="G181" s="25">
        <v>1</v>
      </c>
      <c r="H181" s="14">
        <v>155</v>
      </c>
      <c r="I181" s="18"/>
      <c r="J181" s="27">
        <v>6</v>
      </c>
      <c r="K181" s="29">
        <f t="shared" si="30"/>
        <v>33.375</v>
      </c>
      <c r="L181" s="29">
        <f t="shared" si="31"/>
        <v>33.375</v>
      </c>
      <c r="M181" s="19">
        <f t="shared" si="22"/>
        <v>248310</v>
      </c>
      <c r="N181" s="18">
        <f t="shared" si="23"/>
        <v>248310</v>
      </c>
      <c r="O181" s="18">
        <f ca="1">IF(Table2[[#This Row],[BL Project Start]]&gt;$B$2, 0,M181)</f>
        <v>248310</v>
      </c>
      <c r="P181" s="18">
        <f t="shared" si="24"/>
        <v>248310</v>
      </c>
      <c r="Q181" s="14">
        <f t="shared" si="25"/>
        <v>1</v>
      </c>
      <c r="R181" s="28">
        <f t="shared" ca="1" si="26"/>
        <v>1</v>
      </c>
      <c r="S181" s="23">
        <f t="shared" si="27"/>
        <v>0</v>
      </c>
      <c r="T181" s="23">
        <f t="shared" ca="1" si="28"/>
        <v>0</v>
      </c>
      <c r="U181" s="23">
        <f t="shared" si="29"/>
        <v>248310</v>
      </c>
      <c r="V181" s="33">
        <f t="shared" si="32"/>
        <v>45961</v>
      </c>
    </row>
    <row r="182" spans="1:22" ht="14.5" x14ac:dyDescent="0.35">
      <c r="A182" s="32" t="s">
        <v>399</v>
      </c>
      <c r="B182" s="30">
        <v>45952.333333333299</v>
      </c>
      <c r="C182" s="30">
        <v>45973.708333333299</v>
      </c>
      <c r="D182" s="30">
        <v>45952.333333333299</v>
      </c>
      <c r="E182" s="30">
        <v>45973.708333333299</v>
      </c>
      <c r="F182" s="21" t="s">
        <v>400</v>
      </c>
      <c r="G182" s="25">
        <v>1</v>
      </c>
      <c r="H182" s="14">
        <v>155</v>
      </c>
      <c r="I182" s="18"/>
      <c r="J182" s="27">
        <v>3</v>
      </c>
      <c r="K182" s="29">
        <f t="shared" si="30"/>
        <v>21.375</v>
      </c>
      <c r="L182" s="29">
        <f t="shared" si="31"/>
        <v>21.375</v>
      </c>
      <c r="M182" s="19">
        <f t="shared" si="22"/>
        <v>79515</v>
      </c>
      <c r="N182" s="18">
        <f t="shared" si="23"/>
        <v>79515</v>
      </c>
      <c r="O182" s="18">
        <f ca="1">IF(Table2[[#This Row],[BL Project Start]]&gt;$B$2, 0,M182)</f>
        <v>79515</v>
      </c>
      <c r="P182" s="18">
        <f t="shared" si="24"/>
        <v>79515</v>
      </c>
      <c r="Q182" s="14">
        <f t="shared" si="25"/>
        <v>1</v>
      </c>
      <c r="R182" s="28">
        <f t="shared" ca="1" si="26"/>
        <v>1</v>
      </c>
      <c r="S182" s="23">
        <f t="shared" si="27"/>
        <v>0</v>
      </c>
      <c r="T182" s="23">
        <f t="shared" ca="1" si="28"/>
        <v>0</v>
      </c>
      <c r="U182" s="23">
        <f t="shared" si="29"/>
        <v>79515</v>
      </c>
      <c r="V182" s="33">
        <f t="shared" si="32"/>
        <v>45991</v>
      </c>
    </row>
    <row r="183" spans="1:22" ht="14.5" x14ac:dyDescent="0.35">
      <c r="A183" s="32" t="s">
        <v>402</v>
      </c>
      <c r="B183" s="30">
        <v>45974.333333333299</v>
      </c>
      <c r="C183" s="30">
        <v>45992.708333333299</v>
      </c>
      <c r="D183" s="30">
        <v>45974.333333333299</v>
      </c>
      <c r="E183" s="30">
        <v>45992.708333333299</v>
      </c>
      <c r="F183" s="21" t="s">
        <v>403</v>
      </c>
      <c r="G183" s="25">
        <v>1</v>
      </c>
      <c r="H183" s="14">
        <v>135</v>
      </c>
      <c r="I183" s="18"/>
      <c r="J183" s="27">
        <v>3</v>
      </c>
      <c r="K183" s="29">
        <f t="shared" si="30"/>
        <v>18.375</v>
      </c>
      <c r="L183" s="29">
        <f t="shared" si="31"/>
        <v>18.375</v>
      </c>
      <c r="M183" s="19">
        <f t="shared" si="22"/>
        <v>59535</v>
      </c>
      <c r="N183" s="18">
        <f t="shared" si="23"/>
        <v>59535</v>
      </c>
      <c r="O183" s="18">
        <f ca="1">IF(Table2[[#This Row],[BL Project Start]]&gt;$B$2, 0,M183)</f>
        <v>59535</v>
      </c>
      <c r="P183" s="18">
        <f t="shared" si="24"/>
        <v>59535</v>
      </c>
      <c r="Q183" s="14">
        <f t="shared" si="25"/>
        <v>1</v>
      </c>
      <c r="R183" s="28">
        <f t="shared" ca="1" si="26"/>
        <v>1</v>
      </c>
      <c r="S183" s="23">
        <f t="shared" si="27"/>
        <v>0</v>
      </c>
      <c r="T183" s="23">
        <f t="shared" ca="1" si="28"/>
        <v>0</v>
      </c>
      <c r="U183" s="23">
        <f t="shared" si="29"/>
        <v>59535</v>
      </c>
      <c r="V183" s="33">
        <f t="shared" si="32"/>
        <v>46022</v>
      </c>
    </row>
    <row r="184" spans="1:22" ht="14.5" x14ac:dyDescent="0.35">
      <c r="A184" s="32" t="s">
        <v>405</v>
      </c>
      <c r="B184" s="30">
        <v>45993.333333333299</v>
      </c>
      <c r="C184" s="30">
        <v>46013.708333333299</v>
      </c>
      <c r="D184" s="30">
        <v>45993.333333333299</v>
      </c>
      <c r="E184" s="30">
        <v>46013.708333333299</v>
      </c>
      <c r="F184" s="21" t="s">
        <v>406</v>
      </c>
      <c r="G184" s="25">
        <v>1</v>
      </c>
      <c r="H184" s="14">
        <v>135</v>
      </c>
      <c r="I184" s="18"/>
      <c r="J184" s="27">
        <v>3</v>
      </c>
      <c r="K184" s="29">
        <f t="shared" si="30"/>
        <v>20.375</v>
      </c>
      <c r="L184" s="29">
        <f t="shared" si="31"/>
        <v>20.375</v>
      </c>
      <c r="M184" s="19">
        <f t="shared" si="22"/>
        <v>66015</v>
      </c>
      <c r="N184" s="18">
        <f t="shared" si="23"/>
        <v>66015</v>
      </c>
      <c r="O184" s="18">
        <f ca="1">IF(Table2[[#This Row],[BL Project Start]]&gt;$B$2, 0,M184)</f>
        <v>66015</v>
      </c>
      <c r="P184" s="18">
        <f t="shared" si="24"/>
        <v>66015</v>
      </c>
      <c r="Q184" s="14">
        <f t="shared" si="25"/>
        <v>1</v>
      </c>
      <c r="R184" s="28">
        <f t="shared" ca="1" si="26"/>
        <v>1</v>
      </c>
      <c r="S184" s="23">
        <f t="shared" si="27"/>
        <v>0</v>
      </c>
      <c r="T184" s="23">
        <f t="shared" ca="1" si="28"/>
        <v>0</v>
      </c>
      <c r="U184" s="23">
        <f t="shared" si="29"/>
        <v>66015</v>
      </c>
      <c r="V184" s="33">
        <f t="shared" si="32"/>
        <v>46022</v>
      </c>
    </row>
    <row r="185" spans="1:22" ht="14.5" x14ac:dyDescent="0.35">
      <c r="A185" s="32" t="s">
        <v>408</v>
      </c>
      <c r="B185" s="30">
        <v>46014.333333333299</v>
      </c>
      <c r="C185" s="30">
        <v>46034.708333333299</v>
      </c>
      <c r="D185" s="30">
        <v>46014.333333333299</v>
      </c>
      <c r="E185" s="30">
        <v>46034.708333333299</v>
      </c>
      <c r="F185" s="21" t="s">
        <v>384</v>
      </c>
      <c r="G185" s="25">
        <v>1</v>
      </c>
      <c r="H185" s="14">
        <v>125</v>
      </c>
      <c r="I185" s="18"/>
      <c r="J185" s="27">
        <v>4</v>
      </c>
      <c r="K185" s="29">
        <f t="shared" si="30"/>
        <v>20.375</v>
      </c>
      <c r="L185" s="29">
        <f t="shared" si="31"/>
        <v>20.375</v>
      </c>
      <c r="M185" s="19">
        <f t="shared" si="22"/>
        <v>81500</v>
      </c>
      <c r="N185" s="18">
        <f t="shared" si="23"/>
        <v>81500</v>
      </c>
      <c r="O185" s="18">
        <f ca="1">IF(Table2[[#This Row],[BL Project Start]]&gt;$B$2, 0,M185)</f>
        <v>81500</v>
      </c>
      <c r="P185" s="18">
        <f t="shared" si="24"/>
        <v>81500</v>
      </c>
      <c r="Q185" s="14">
        <f t="shared" si="25"/>
        <v>1</v>
      </c>
      <c r="R185" s="28">
        <f t="shared" ca="1" si="26"/>
        <v>1</v>
      </c>
      <c r="S185" s="23">
        <f t="shared" si="27"/>
        <v>0</v>
      </c>
      <c r="T185" s="23">
        <f t="shared" ca="1" si="28"/>
        <v>0</v>
      </c>
      <c r="U185" s="23">
        <f t="shared" si="29"/>
        <v>81500</v>
      </c>
      <c r="V185" s="33">
        <f t="shared" si="32"/>
        <v>46053</v>
      </c>
    </row>
    <row r="186" spans="1:22" ht="14.5" x14ac:dyDescent="0.35">
      <c r="A186" s="32" t="s">
        <v>410</v>
      </c>
      <c r="B186" s="30">
        <v>46035.333333333299</v>
      </c>
      <c r="C186" s="30">
        <v>46055.708333333299</v>
      </c>
      <c r="D186" s="30">
        <v>46035.333333333299</v>
      </c>
      <c r="E186" s="30">
        <v>46055.708333333299</v>
      </c>
      <c r="F186" s="21" t="s">
        <v>397</v>
      </c>
      <c r="G186" s="25">
        <v>1</v>
      </c>
      <c r="H186" s="14">
        <v>155</v>
      </c>
      <c r="I186" s="18"/>
      <c r="J186" s="27">
        <v>1</v>
      </c>
      <c r="K186" s="29">
        <f t="shared" si="30"/>
        <v>20.375</v>
      </c>
      <c r="L186" s="29">
        <f t="shared" si="31"/>
        <v>20.375</v>
      </c>
      <c r="M186" s="19">
        <f t="shared" si="22"/>
        <v>25265</v>
      </c>
      <c r="N186" s="18">
        <f t="shared" si="23"/>
        <v>25265</v>
      </c>
      <c r="O186" s="18">
        <f ca="1">IF(Table2[[#This Row],[BL Project Start]]&gt;$B$2, 0,M186)</f>
        <v>25265</v>
      </c>
      <c r="P186" s="18">
        <f t="shared" si="24"/>
        <v>25265</v>
      </c>
      <c r="Q186" s="14">
        <f t="shared" si="25"/>
        <v>1</v>
      </c>
      <c r="R186" s="28">
        <f t="shared" ca="1" si="26"/>
        <v>1</v>
      </c>
      <c r="S186" s="23">
        <f t="shared" si="27"/>
        <v>0</v>
      </c>
      <c r="T186" s="23">
        <f t="shared" ca="1" si="28"/>
        <v>0</v>
      </c>
      <c r="U186" s="23">
        <f t="shared" si="29"/>
        <v>25265</v>
      </c>
      <c r="V186" s="33">
        <f t="shared" si="32"/>
        <v>46081</v>
      </c>
    </row>
    <row r="187" spans="1:22" ht="14.5" x14ac:dyDescent="0.35">
      <c r="A187" s="32" t="s">
        <v>412</v>
      </c>
      <c r="B187" s="30">
        <v>45889.333333333299</v>
      </c>
      <c r="C187" s="30">
        <v>45903.708333333299</v>
      </c>
      <c r="D187" s="30">
        <v>45889.333333333299</v>
      </c>
      <c r="E187" s="30">
        <v>45903.708333333299</v>
      </c>
      <c r="F187" s="21" t="s">
        <v>384</v>
      </c>
      <c r="G187" s="25">
        <v>1</v>
      </c>
      <c r="H187" s="14">
        <v>125</v>
      </c>
      <c r="I187" s="18"/>
      <c r="J187" s="27">
        <v>1</v>
      </c>
      <c r="K187" s="29">
        <f t="shared" si="30"/>
        <v>14.375</v>
      </c>
      <c r="L187" s="29">
        <f t="shared" si="31"/>
        <v>14.375</v>
      </c>
      <c r="M187" s="19">
        <f t="shared" si="22"/>
        <v>14375</v>
      </c>
      <c r="N187" s="18">
        <f t="shared" si="23"/>
        <v>14375</v>
      </c>
      <c r="O187" s="18">
        <f ca="1">IF(Table2[[#This Row],[BL Project Start]]&gt;$B$2, 0,M187)</f>
        <v>14375</v>
      </c>
      <c r="P187" s="18">
        <f t="shared" si="24"/>
        <v>14375</v>
      </c>
      <c r="Q187" s="14">
        <f t="shared" si="25"/>
        <v>1</v>
      </c>
      <c r="R187" s="28">
        <f t="shared" ca="1" si="26"/>
        <v>1</v>
      </c>
      <c r="S187" s="23">
        <f t="shared" si="27"/>
        <v>0</v>
      </c>
      <c r="T187" s="23">
        <f t="shared" ca="1" si="28"/>
        <v>0</v>
      </c>
      <c r="U187" s="23">
        <f t="shared" si="29"/>
        <v>14375</v>
      </c>
      <c r="V187" s="33">
        <f t="shared" si="32"/>
        <v>45930</v>
      </c>
    </row>
    <row r="188" spans="1:22" ht="14.5" x14ac:dyDescent="0.35">
      <c r="A188" s="32" t="s">
        <v>414</v>
      </c>
      <c r="B188" s="30">
        <v>45889.333333333299</v>
      </c>
      <c r="C188" s="30">
        <v>45902.708333333299</v>
      </c>
      <c r="D188" s="30">
        <v>45889.333333333299</v>
      </c>
      <c r="E188" s="30">
        <v>45902.708333333299</v>
      </c>
      <c r="F188" s="21" t="s">
        <v>384</v>
      </c>
      <c r="G188" s="25">
        <v>1</v>
      </c>
      <c r="H188" s="14">
        <v>125</v>
      </c>
      <c r="I188" s="18"/>
      <c r="J188" s="27">
        <v>1</v>
      </c>
      <c r="K188" s="29">
        <f t="shared" si="30"/>
        <v>13.375</v>
      </c>
      <c r="L188" s="29">
        <f t="shared" si="31"/>
        <v>13.375</v>
      </c>
      <c r="M188" s="19">
        <f t="shared" si="22"/>
        <v>13375</v>
      </c>
      <c r="N188" s="18">
        <f t="shared" si="23"/>
        <v>13375</v>
      </c>
      <c r="O188" s="18">
        <f ca="1">IF(Table2[[#This Row],[BL Project Start]]&gt;$B$2, 0,M188)</f>
        <v>13375</v>
      </c>
      <c r="P188" s="18">
        <f t="shared" si="24"/>
        <v>13375</v>
      </c>
      <c r="Q188" s="14">
        <f t="shared" si="25"/>
        <v>1</v>
      </c>
      <c r="R188" s="28">
        <f t="shared" ca="1" si="26"/>
        <v>1</v>
      </c>
      <c r="S188" s="23">
        <f t="shared" si="27"/>
        <v>0</v>
      </c>
      <c r="T188" s="23">
        <f t="shared" ca="1" si="28"/>
        <v>0</v>
      </c>
      <c r="U188" s="23">
        <f t="shared" si="29"/>
        <v>13375</v>
      </c>
      <c r="V188" s="33">
        <f t="shared" si="32"/>
        <v>45930</v>
      </c>
    </row>
    <row r="189" spans="1:22" ht="14.5" x14ac:dyDescent="0.35">
      <c r="A189" s="32" t="s">
        <v>416</v>
      </c>
      <c r="B189" s="30">
        <v>45952.333333333299</v>
      </c>
      <c r="C189" s="30">
        <v>45959.708333333299</v>
      </c>
      <c r="D189" s="30">
        <v>45952.333333333299</v>
      </c>
      <c r="E189" s="30">
        <v>45959.708333333299</v>
      </c>
      <c r="F189" s="21" t="s">
        <v>397</v>
      </c>
      <c r="G189" s="25">
        <v>1</v>
      </c>
      <c r="H189" s="14">
        <v>155</v>
      </c>
      <c r="I189" s="18"/>
      <c r="J189" s="27">
        <v>1</v>
      </c>
      <c r="K189" s="29">
        <f t="shared" si="30"/>
        <v>7.375</v>
      </c>
      <c r="L189" s="29">
        <f t="shared" si="31"/>
        <v>7.375</v>
      </c>
      <c r="M189" s="19">
        <f t="shared" si="22"/>
        <v>9145</v>
      </c>
      <c r="N189" s="18">
        <f t="shared" si="23"/>
        <v>9145</v>
      </c>
      <c r="O189" s="18">
        <f ca="1">IF(Table2[[#This Row],[BL Project Start]]&gt;$B$2, 0,M189)</f>
        <v>9145</v>
      </c>
      <c r="P189" s="18">
        <f t="shared" si="24"/>
        <v>9145</v>
      </c>
      <c r="Q189" s="14">
        <f t="shared" si="25"/>
        <v>1</v>
      </c>
      <c r="R189" s="28">
        <f t="shared" ca="1" si="26"/>
        <v>1</v>
      </c>
      <c r="S189" s="23">
        <f t="shared" si="27"/>
        <v>0</v>
      </c>
      <c r="T189" s="23">
        <f t="shared" ca="1" si="28"/>
        <v>0</v>
      </c>
      <c r="U189" s="23">
        <f t="shared" si="29"/>
        <v>9145</v>
      </c>
      <c r="V189" s="33">
        <f t="shared" si="32"/>
        <v>45961</v>
      </c>
    </row>
    <row r="190" spans="1:22" ht="14.5" x14ac:dyDescent="0.35">
      <c r="A190" s="32" t="s">
        <v>418</v>
      </c>
      <c r="B190" s="30">
        <v>46056.333333333299</v>
      </c>
      <c r="C190" s="30">
        <v>46085.708333333299</v>
      </c>
      <c r="D190" s="30">
        <v>46056.333333333299</v>
      </c>
      <c r="E190" s="30">
        <v>46085.708333333299</v>
      </c>
      <c r="F190" s="21" t="s">
        <v>322</v>
      </c>
      <c r="G190" s="25">
        <v>1</v>
      </c>
      <c r="H190" s="14">
        <v>135</v>
      </c>
      <c r="I190" s="18"/>
      <c r="J190" s="27">
        <v>1</v>
      </c>
      <c r="K190" s="29">
        <f t="shared" si="30"/>
        <v>29.375</v>
      </c>
      <c r="L190" s="29">
        <f t="shared" si="31"/>
        <v>29.375</v>
      </c>
      <c r="M190" s="19">
        <f t="shared" si="22"/>
        <v>31725</v>
      </c>
      <c r="N190" s="18">
        <f t="shared" si="23"/>
        <v>31725</v>
      </c>
      <c r="O190" s="18">
        <f ca="1">IF(Table2[[#This Row],[BL Project Start]]&gt;$B$2, 0,M190)</f>
        <v>31725</v>
      </c>
      <c r="P190" s="18">
        <f t="shared" si="24"/>
        <v>31725</v>
      </c>
      <c r="Q190" s="14">
        <f t="shared" si="25"/>
        <v>1</v>
      </c>
      <c r="R190" s="28">
        <f t="shared" ca="1" si="26"/>
        <v>1</v>
      </c>
      <c r="S190" s="23">
        <f t="shared" si="27"/>
        <v>0</v>
      </c>
      <c r="T190" s="23">
        <f t="shared" ca="1" si="28"/>
        <v>0</v>
      </c>
      <c r="U190" s="23">
        <f t="shared" si="29"/>
        <v>31725</v>
      </c>
      <c r="V190" s="33">
        <f t="shared" si="32"/>
        <v>46112</v>
      </c>
    </row>
    <row r="191" spans="1:22" ht="14.5" x14ac:dyDescent="0.35">
      <c r="A191" s="32" t="s">
        <v>420</v>
      </c>
      <c r="B191" s="30">
        <v>46086.333333333299</v>
      </c>
      <c r="C191" s="30">
        <v>46090.708333333299</v>
      </c>
      <c r="D191" s="30">
        <v>46086.333333333299</v>
      </c>
      <c r="E191" s="30" t="s">
        <v>5</v>
      </c>
      <c r="F191" s="21" t="s">
        <v>322</v>
      </c>
      <c r="G191" s="25">
        <v>0</v>
      </c>
      <c r="H191" s="14">
        <v>135</v>
      </c>
      <c r="I191" s="18"/>
      <c r="J191" s="27">
        <v>1</v>
      </c>
      <c r="K191" s="29">
        <f t="shared" si="30"/>
        <v>4.375</v>
      </c>
      <c r="L191" s="29">
        <f t="shared" si="31"/>
        <v>0</v>
      </c>
      <c r="M191" s="19">
        <f t="shared" si="22"/>
        <v>4725</v>
      </c>
      <c r="N191" s="18">
        <f t="shared" si="23"/>
        <v>0</v>
      </c>
      <c r="O191" s="18">
        <f ca="1">IF(Table2[[#This Row],[BL Project Start]]&gt;$B$2, 0,M191)</f>
        <v>4725</v>
      </c>
      <c r="P191" s="18">
        <f t="shared" si="24"/>
        <v>0</v>
      </c>
      <c r="Q191" s="14" t="str">
        <f t="shared" si="25"/>
        <v/>
      </c>
      <c r="R191" s="28">
        <f t="shared" ca="1" si="26"/>
        <v>0</v>
      </c>
      <c r="S191" s="23">
        <f t="shared" si="27"/>
        <v>0</v>
      </c>
      <c r="T191" s="23">
        <f t="shared" ca="1" si="28"/>
        <v>-4725</v>
      </c>
      <c r="U191" s="23">
        <f t="shared" si="29"/>
        <v>4725</v>
      </c>
      <c r="V191" s="33">
        <f t="shared" si="32"/>
        <v>46112</v>
      </c>
    </row>
    <row r="192" spans="1:22" ht="14.5" x14ac:dyDescent="0.35">
      <c r="A192" s="32" t="s">
        <v>674</v>
      </c>
      <c r="B192" s="30">
        <v>46091.333333333299</v>
      </c>
      <c r="C192" s="30">
        <v>46093.708333333299</v>
      </c>
      <c r="D192" s="30" t="s">
        <v>5</v>
      </c>
      <c r="E192" s="30" t="s">
        <v>5</v>
      </c>
      <c r="F192" s="21" t="s">
        <v>322</v>
      </c>
      <c r="G192" s="25">
        <v>0</v>
      </c>
      <c r="H192" s="14">
        <v>135</v>
      </c>
      <c r="I192" s="18"/>
      <c r="J192" s="27">
        <v>1</v>
      </c>
      <c r="K192" s="29">
        <f t="shared" si="30"/>
        <v>2.375</v>
      </c>
      <c r="L192" s="29">
        <f t="shared" si="31"/>
        <v>0</v>
      </c>
      <c r="M192" s="19">
        <f t="shared" si="22"/>
        <v>2565</v>
      </c>
      <c r="N192" s="18">
        <f t="shared" si="23"/>
        <v>0</v>
      </c>
      <c r="O192" s="18">
        <f ca="1">IF(Table2[[#This Row],[BL Project Start]]&gt;$B$2, 0,M192)</f>
        <v>0</v>
      </c>
      <c r="P192" s="18">
        <f t="shared" si="24"/>
        <v>0</v>
      </c>
      <c r="Q192" s="14" t="str">
        <f t="shared" si="25"/>
        <v/>
      </c>
      <c r="R192" s="28" t="str">
        <f t="shared" ca="1" si="26"/>
        <v/>
      </c>
      <c r="S192" s="23">
        <f t="shared" si="27"/>
        <v>0</v>
      </c>
      <c r="T192" s="23">
        <f t="shared" ca="1" si="28"/>
        <v>0</v>
      </c>
      <c r="U192" s="23">
        <f t="shared" si="29"/>
        <v>2565</v>
      </c>
      <c r="V192" s="33">
        <f t="shared" si="32"/>
        <v>46112</v>
      </c>
    </row>
    <row r="193" spans="1:22" ht="14.5" x14ac:dyDescent="0.35">
      <c r="A193" s="32" t="s">
        <v>424</v>
      </c>
      <c r="B193" s="30">
        <v>46094.333333333299</v>
      </c>
      <c r="C193" s="30">
        <v>46100.708333333299</v>
      </c>
      <c r="D193" s="30" t="s">
        <v>5</v>
      </c>
      <c r="E193" s="30" t="s">
        <v>5</v>
      </c>
      <c r="F193" s="21" t="s">
        <v>397</v>
      </c>
      <c r="G193" s="25">
        <v>0</v>
      </c>
      <c r="H193" s="14">
        <v>155</v>
      </c>
      <c r="I193" s="18"/>
      <c r="J193" s="27">
        <v>1</v>
      </c>
      <c r="K193" s="29">
        <f t="shared" si="30"/>
        <v>6.375</v>
      </c>
      <c r="L193" s="29">
        <f t="shared" si="31"/>
        <v>0</v>
      </c>
      <c r="M193" s="19">
        <f t="shared" si="22"/>
        <v>7905</v>
      </c>
      <c r="N193" s="18">
        <f t="shared" si="23"/>
        <v>0</v>
      </c>
      <c r="O193" s="18">
        <f ca="1">IF(Table2[[#This Row],[BL Project Start]]&gt;$B$2, 0,M193)</f>
        <v>0</v>
      </c>
      <c r="P193" s="18">
        <f t="shared" si="24"/>
        <v>0</v>
      </c>
      <c r="Q193" s="14" t="str">
        <f t="shared" si="25"/>
        <v/>
      </c>
      <c r="R193" s="28" t="str">
        <f t="shared" ca="1" si="26"/>
        <v/>
      </c>
      <c r="S193" s="23">
        <f t="shared" si="27"/>
        <v>0</v>
      </c>
      <c r="T193" s="23">
        <f t="shared" ca="1" si="28"/>
        <v>0</v>
      </c>
      <c r="U193" s="23">
        <f t="shared" si="29"/>
        <v>7905</v>
      </c>
      <c r="V193" s="33">
        <f t="shared" si="32"/>
        <v>46112</v>
      </c>
    </row>
    <row r="194" spans="1:22" ht="14.5" x14ac:dyDescent="0.35">
      <c r="A194" s="32" t="s">
        <v>426</v>
      </c>
      <c r="B194" s="30">
        <v>46101.333333333299</v>
      </c>
      <c r="C194" s="30">
        <v>46107.708333333299</v>
      </c>
      <c r="D194" s="30" t="s">
        <v>5</v>
      </c>
      <c r="E194" s="30" t="s">
        <v>5</v>
      </c>
      <c r="F194" s="21" t="s">
        <v>381</v>
      </c>
      <c r="G194" s="25">
        <v>0</v>
      </c>
      <c r="H194" s="14">
        <v>140</v>
      </c>
      <c r="I194" s="18"/>
      <c r="J194" s="27">
        <v>1</v>
      </c>
      <c r="K194" s="29">
        <f t="shared" si="30"/>
        <v>6.375</v>
      </c>
      <c r="L194" s="29">
        <f t="shared" si="31"/>
        <v>0</v>
      </c>
      <c r="M194" s="19">
        <f t="shared" si="22"/>
        <v>7140</v>
      </c>
      <c r="N194" s="18">
        <f t="shared" si="23"/>
        <v>0</v>
      </c>
      <c r="O194" s="18">
        <f ca="1">IF(Table2[[#This Row],[BL Project Start]]&gt;$B$2, 0,M194)</f>
        <v>0</v>
      </c>
      <c r="P194" s="18">
        <f t="shared" si="24"/>
        <v>0</v>
      </c>
      <c r="Q194" s="14" t="str">
        <f t="shared" si="25"/>
        <v/>
      </c>
      <c r="R194" s="28" t="str">
        <f t="shared" ca="1" si="26"/>
        <v/>
      </c>
      <c r="S194" s="23">
        <f t="shared" si="27"/>
        <v>0</v>
      </c>
      <c r="T194" s="23">
        <f t="shared" ca="1" si="28"/>
        <v>0</v>
      </c>
      <c r="U194" s="23">
        <f t="shared" si="29"/>
        <v>7140</v>
      </c>
      <c r="V194" s="33">
        <f t="shared" si="32"/>
        <v>46112</v>
      </c>
    </row>
    <row r="195" spans="1:22" ht="14.5" x14ac:dyDescent="0.35">
      <c r="A195" s="32" t="s">
        <v>428</v>
      </c>
      <c r="B195" s="30">
        <v>46154.333333333299</v>
      </c>
      <c r="C195" s="30">
        <v>46188.708333333299</v>
      </c>
      <c r="D195" s="30" t="s">
        <v>5</v>
      </c>
      <c r="E195" s="30" t="s">
        <v>5</v>
      </c>
      <c r="F195" s="21" t="s">
        <v>429</v>
      </c>
      <c r="G195" s="25">
        <v>0</v>
      </c>
      <c r="H195" s="14">
        <v>160</v>
      </c>
      <c r="I195" s="18"/>
      <c r="J195" s="27">
        <v>1</v>
      </c>
      <c r="K195" s="29">
        <f t="shared" si="30"/>
        <v>34.375</v>
      </c>
      <c r="L195" s="29">
        <f t="shared" si="31"/>
        <v>0</v>
      </c>
      <c r="M195" s="19">
        <f t="shared" si="22"/>
        <v>44000</v>
      </c>
      <c r="N195" s="18">
        <f t="shared" si="23"/>
        <v>0</v>
      </c>
      <c r="O195" s="18">
        <f ca="1">IF(Table2[[#This Row],[BL Project Start]]&gt;$B$2, 0,M195)</f>
        <v>0</v>
      </c>
      <c r="P195" s="18">
        <f t="shared" si="24"/>
        <v>0</v>
      </c>
      <c r="Q195" s="14" t="str">
        <f t="shared" si="25"/>
        <v/>
      </c>
      <c r="R195" s="28" t="str">
        <f t="shared" ca="1" si="26"/>
        <v/>
      </c>
      <c r="S195" s="23">
        <f t="shared" si="27"/>
        <v>0</v>
      </c>
      <c r="T195" s="23">
        <f t="shared" ca="1" si="28"/>
        <v>0</v>
      </c>
      <c r="U195" s="23">
        <f t="shared" si="29"/>
        <v>44000</v>
      </c>
      <c r="V195" s="33">
        <f t="shared" si="32"/>
        <v>46203</v>
      </c>
    </row>
    <row r="196" spans="1:22" ht="14.5" x14ac:dyDescent="0.35">
      <c r="A196" s="32" t="s">
        <v>431</v>
      </c>
      <c r="B196" s="30">
        <v>46091.333333333299</v>
      </c>
      <c r="C196" s="30">
        <v>46111.708333333299</v>
      </c>
      <c r="D196" s="30" t="s">
        <v>5</v>
      </c>
      <c r="E196" s="30" t="s">
        <v>5</v>
      </c>
      <c r="F196" s="21" t="s">
        <v>325</v>
      </c>
      <c r="G196" s="25">
        <v>0</v>
      </c>
      <c r="H196" s="14">
        <v>135</v>
      </c>
      <c r="I196" s="18"/>
      <c r="J196" s="27">
        <v>1</v>
      </c>
      <c r="K196" s="29">
        <f t="shared" si="30"/>
        <v>20.375</v>
      </c>
      <c r="L196" s="29">
        <f t="shared" si="31"/>
        <v>0</v>
      </c>
      <c r="M196" s="19">
        <f t="shared" si="22"/>
        <v>22005</v>
      </c>
      <c r="N196" s="18">
        <f t="shared" si="23"/>
        <v>0</v>
      </c>
      <c r="O196" s="18">
        <f ca="1">IF(Table2[[#This Row],[BL Project Start]]&gt;$B$2, 0,M196)</f>
        <v>0</v>
      </c>
      <c r="P196" s="18">
        <f t="shared" si="24"/>
        <v>0</v>
      </c>
      <c r="Q196" s="14" t="str">
        <f t="shared" si="25"/>
        <v/>
      </c>
      <c r="R196" s="28" t="str">
        <f t="shared" ca="1" si="26"/>
        <v/>
      </c>
      <c r="S196" s="23">
        <f t="shared" si="27"/>
        <v>0</v>
      </c>
      <c r="T196" s="23">
        <f t="shared" ca="1" si="28"/>
        <v>0</v>
      </c>
      <c r="U196" s="23">
        <f t="shared" si="29"/>
        <v>22005</v>
      </c>
      <c r="V196" s="33">
        <f t="shared" si="32"/>
        <v>46112</v>
      </c>
    </row>
    <row r="197" spans="1:22" ht="14.5" x14ac:dyDescent="0.35">
      <c r="A197" s="32" t="s">
        <v>433</v>
      </c>
      <c r="B197" s="30">
        <v>46092.333333333299</v>
      </c>
      <c r="C197" s="30">
        <v>46105.708333333299</v>
      </c>
      <c r="D197" s="30" t="s">
        <v>5</v>
      </c>
      <c r="E197" s="30" t="s">
        <v>5</v>
      </c>
      <c r="F197" s="21" t="s">
        <v>429</v>
      </c>
      <c r="G197" s="25">
        <v>0</v>
      </c>
      <c r="H197" s="14">
        <v>160</v>
      </c>
      <c r="I197" s="18"/>
      <c r="J197" s="27">
        <v>1</v>
      </c>
      <c r="K197" s="29">
        <f t="shared" si="30"/>
        <v>13.375</v>
      </c>
      <c r="L197" s="29">
        <f t="shared" si="31"/>
        <v>0</v>
      </c>
      <c r="M197" s="19">
        <f t="shared" ref="M197:M212" si="33">IFERROR(H197*$B$3*K197*J197, 0)+I197</f>
        <v>17120</v>
      </c>
      <c r="N197" s="18">
        <f t="shared" ref="N197:N212" si="34">IFERROR(H197*$B$3*L197*J197, 0)+I197</f>
        <v>0</v>
      </c>
      <c r="O197" s="18">
        <f ca="1">IF(Table2[[#This Row],[BL Project Start]]&gt;$B$2, 0,M197)</f>
        <v>0</v>
      </c>
      <c r="P197" s="18">
        <f t="shared" ref="P197:P212" si="35">M197*G197</f>
        <v>0</v>
      </c>
      <c r="Q197" s="14" t="str">
        <f t="shared" ref="Q197:Q212" si="36">IFERROR(P197/N197, "")</f>
        <v/>
      </c>
      <c r="R197" s="28" t="str">
        <f t="shared" ref="R197:R212" ca="1" si="37">IFERROR(P197/O197, "")</f>
        <v/>
      </c>
      <c r="S197" s="23">
        <f t="shared" ref="S197:S212" si="38">P197-N197</f>
        <v>0</v>
      </c>
      <c r="T197" s="23">
        <f t="shared" ref="T197:T212" ca="1" si="39">P197-O197</f>
        <v>0</v>
      </c>
      <c r="U197" s="23">
        <f t="shared" ref="U197:U212" si="40">N197+(M197-P197)</f>
        <v>17120</v>
      </c>
      <c r="V197" s="33">
        <f t="shared" si="32"/>
        <v>46112</v>
      </c>
    </row>
    <row r="198" spans="1:22" ht="14.5" x14ac:dyDescent="0.35">
      <c r="A198" s="32" t="s">
        <v>435</v>
      </c>
      <c r="B198" s="30">
        <v>46092.333333333299</v>
      </c>
      <c r="C198" s="30">
        <v>46105.708333333299</v>
      </c>
      <c r="D198" s="30" t="s">
        <v>5</v>
      </c>
      <c r="E198" s="30" t="s">
        <v>5</v>
      </c>
      <c r="F198" s="21" t="s">
        <v>429</v>
      </c>
      <c r="G198" s="25">
        <v>0</v>
      </c>
      <c r="H198" s="14">
        <v>160</v>
      </c>
      <c r="I198" s="18"/>
      <c r="J198" s="27">
        <v>1</v>
      </c>
      <c r="K198" s="29">
        <f t="shared" ref="K198:K212" si="41">IFERROR(C198-B198, 0)</f>
        <v>13.375</v>
      </c>
      <c r="L198" s="29">
        <f t="shared" ref="L198:L212" si="42">IFERROR(E198-D198, 0)</f>
        <v>0</v>
      </c>
      <c r="M198" s="19">
        <f t="shared" si="33"/>
        <v>17120</v>
      </c>
      <c r="N198" s="18">
        <f t="shared" si="34"/>
        <v>0</v>
      </c>
      <c r="O198" s="18">
        <f ca="1">IF(Table2[[#This Row],[BL Project Start]]&gt;$B$2, 0,M198)</f>
        <v>0</v>
      </c>
      <c r="P198" s="18">
        <f t="shared" si="35"/>
        <v>0</v>
      </c>
      <c r="Q198" s="14" t="str">
        <f t="shared" si="36"/>
        <v/>
      </c>
      <c r="R198" s="28" t="str">
        <f t="shared" ca="1" si="37"/>
        <v/>
      </c>
      <c r="S198" s="23">
        <f t="shared" si="38"/>
        <v>0</v>
      </c>
      <c r="T198" s="23">
        <f t="shared" ca="1" si="39"/>
        <v>0</v>
      </c>
      <c r="U198" s="23">
        <f t="shared" si="40"/>
        <v>17120</v>
      </c>
      <c r="V198" s="33">
        <f t="shared" ref="V198:V212" si="43">EOMONTH(IF($C198="",$B198,$C198),0)</f>
        <v>46112</v>
      </c>
    </row>
    <row r="199" spans="1:22" ht="14.5" x14ac:dyDescent="0.35">
      <c r="A199" s="32" t="s">
        <v>437</v>
      </c>
      <c r="B199" s="30">
        <v>46127.333333333299</v>
      </c>
      <c r="C199" s="30">
        <v>46147.708333333299</v>
      </c>
      <c r="D199" s="30" t="s">
        <v>5</v>
      </c>
      <c r="E199" s="30" t="s">
        <v>5</v>
      </c>
      <c r="F199" s="21" t="s">
        <v>357</v>
      </c>
      <c r="G199" s="25">
        <v>0</v>
      </c>
      <c r="H199" s="14">
        <v>145</v>
      </c>
      <c r="I199" s="18"/>
      <c r="J199" s="27">
        <v>1</v>
      </c>
      <c r="K199" s="29">
        <f t="shared" si="41"/>
        <v>20.375</v>
      </c>
      <c r="L199" s="29">
        <f t="shared" si="42"/>
        <v>0</v>
      </c>
      <c r="M199" s="19">
        <f t="shared" si="33"/>
        <v>23635</v>
      </c>
      <c r="N199" s="18">
        <f t="shared" si="34"/>
        <v>0</v>
      </c>
      <c r="O199" s="18">
        <f ca="1">IF(Table2[[#This Row],[BL Project Start]]&gt;$B$2, 0,M199)</f>
        <v>0</v>
      </c>
      <c r="P199" s="18">
        <f t="shared" si="35"/>
        <v>0</v>
      </c>
      <c r="Q199" s="14" t="str">
        <f t="shared" si="36"/>
        <v/>
      </c>
      <c r="R199" s="28" t="str">
        <f t="shared" ca="1" si="37"/>
        <v/>
      </c>
      <c r="S199" s="23">
        <f t="shared" si="38"/>
        <v>0</v>
      </c>
      <c r="T199" s="23">
        <f t="shared" ca="1" si="39"/>
        <v>0</v>
      </c>
      <c r="U199" s="23">
        <f t="shared" si="40"/>
        <v>23635</v>
      </c>
      <c r="V199" s="33">
        <f t="shared" si="43"/>
        <v>46173</v>
      </c>
    </row>
    <row r="200" spans="1:22" ht="14.5" x14ac:dyDescent="0.35">
      <c r="A200" s="32" t="s">
        <v>675</v>
      </c>
      <c r="B200" s="30">
        <v>46148.333333333299</v>
      </c>
      <c r="C200" s="30">
        <v>46175.708333333299</v>
      </c>
      <c r="D200" s="30" t="s">
        <v>5</v>
      </c>
      <c r="E200" s="30" t="s">
        <v>5</v>
      </c>
      <c r="F200" s="21" t="s">
        <v>357</v>
      </c>
      <c r="G200" s="25">
        <v>0</v>
      </c>
      <c r="H200" s="14">
        <v>145</v>
      </c>
      <c r="I200" s="18"/>
      <c r="J200" s="27">
        <v>1</v>
      </c>
      <c r="K200" s="29">
        <f t="shared" si="41"/>
        <v>27.375</v>
      </c>
      <c r="L200" s="29">
        <f t="shared" si="42"/>
        <v>0</v>
      </c>
      <c r="M200" s="19">
        <f t="shared" si="33"/>
        <v>31755</v>
      </c>
      <c r="N200" s="18">
        <f t="shared" si="34"/>
        <v>0</v>
      </c>
      <c r="O200" s="18">
        <f ca="1">IF(Table2[[#This Row],[BL Project Start]]&gt;$B$2, 0,M200)</f>
        <v>0</v>
      </c>
      <c r="P200" s="18">
        <f t="shared" si="35"/>
        <v>0</v>
      </c>
      <c r="Q200" s="14" t="str">
        <f t="shared" si="36"/>
        <v/>
      </c>
      <c r="R200" s="28" t="str">
        <f t="shared" ca="1" si="37"/>
        <v/>
      </c>
      <c r="S200" s="23">
        <f t="shared" si="38"/>
        <v>0</v>
      </c>
      <c r="T200" s="23">
        <f t="shared" ca="1" si="39"/>
        <v>0</v>
      </c>
      <c r="U200" s="23">
        <f t="shared" si="40"/>
        <v>31755</v>
      </c>
      <c r="V200" s="33">
        <f t="shared" si="43"/>
        <v>46203</v>
      </c>
    </row>
    <row r="201" spans="1:22" ht="14.5" x14ac:dyDescent="0.35">
      <c r="A201" s="32" t="s">
        <v>441</v>
      </c>
      <c r="B201" s="30">
        <v>46189.333333333299</v>
      </c>
      <c r="C201" s="30">
        <v>46202.708333333299</v>
      </c>
      <c r="D201" s="30" t="s">
        <v>5</v>
      </c>
      <c r="E201" s="30" t="s">
        <v>5</v>
      </c>
      <c r="F201" s="21" t="s">
        <v>429</v>
      </c>
      <c r="G201" s="25">
        <v>0</v>
      </c>
      <c r="H201" s="14">
        <v>160</v>
      </c>
      <c r="I201" s="18"/>
      <c r="J201" s="27">
        <v>1</v>
      </c>
      <c r="K201" s="29">
        <f t="shared" si="41"/>
        <v>13.375</v>
      </c>
      <c r="L201" s="29">
        <f t="shared" si="42"/>
        <v>0</v>
      </c>
      <c r="M201" s="19">
        <f t="shared" si="33"/>
        <v>17120</v>
      </c>
      <c r="N201" s="18">
        <f t="shared" si="34"/>
        <v>0</v>
      </c>
      <c r="O201" s="18">
        <f ca="1">IF(Table2[[#This Row],[BL Project Start]]&gt;$B$2, 0,M201)</f>
        <v>0</v>
      </c>
      <c r="P201" s="18">
        <f t="shared" si="35"/>
        <v>0</v>
      </c>
      <c r="Q201" s="14" t="str">
        <f t="shared" si="36"/>
        <v/>
      </c>
      <c r="R201" s="28" t="str">
        <f t="shared" ca="1" si="37"/>
        <v/>
      </c>
      <c r="S201" s="23">
        <f t="shared" si="38"/>
        <v>0</v>
      </c>
      <c r="T201" s="23">
        <f t="shared" ca="1" si="39"/>
        <v>0</v>
      </c>
      <c r="U201" s="23">
        <f t="shared" si="40"/>
        <v>17120</v>
      </c>
      <c r="V201" s="33">
        <f t="shared" si="43"/>
        <v>46203</v>
      </c>
    </row>
    <row r="202" spans="1:22" ht="14.5" x14ac:dyDescent="0.35">
      <c r="A202" s="32" t="s">
        <v>443</v>
      </c>
      <c r="B202" s="30">
        <v>46203.333333333299</v>
      </c>
      <c r="C202" s="30">
        <v>46230.708333333299</v>
      </c>
      <c r="D202" s="30" t="s">
        <v>5</v>
      </c>
      <c r="E202" s="30" t="s">
        <v>5</v>
      </c>
      <c r="F202" s="21" t="s">
        <v>444</v>
      </c>
      <c r="G202" s="25">
        <v>0</v>
      </c>
      <c r="H202" s="14">
        <v>120</v>
      </c>
      <c r="I202" s="18"/>
      <c r="J202" s="27">
        <v>1</v>
      </c>
      <c r="K202" s="29">
        <f t="shared" si="41"/>
        <v>27.375</v>
      </c>
      <c r="L202" s="29">
        <f t="shared" si="42"/>
        <v>0</v>
      </c>
      <c r="M202" s="19">
        <f t="shared" si="33"/>
        <v>26280</v>
      </c>
      <c r="N202" s="18">
        <f t="shared" si="34"/>
        <v>0</v>
      </c>
      <c r="O202" s="18">
        <f ca="1">IF(Table2[[#This Row],[BL Project Start]]&gt;$B$2, 0,M202)</f>
        <v>0</v>
      </c>
      <c r="P202" s="18">
        <f t="shared" si="35"/>
        <v>0</v>
      </c>
      <c r="Q202" s="14" t="str">
        <f t="shared" si="36"/>
        <v/>
      </c>
      <c r="R202" s="28" t="str">
        <f t="shared" ca="1" si="37"/>
        <v/>
      </c>
      <c r="S202" s="23">
        <f t="shared" si="38"/>
        <v>0</v>
      </c>
      <c r="T202" s="23">
        <f t="shared" ca="1" si="39"/>
        <v>0</v>
      </c>
      <c r="U202" s="23">
        <f t="shared" si="40"/>
        <v>26280</v>
      </c>
      <c r="V202" s="33">
        <f t="shared" si="43"/>
        <v>46234</v>
      </c>
    </row>
    <row r="203" spans="1:22" ht="14.5" x14ac:dyDescent="0.35">
      <c r="A203" s="32" t="s">
        <v>446</v>
      </c>
      <c r="B203" s="30">
        <v>46231.333333333299</v>
      </c>
      <c r="C203" s="30">
        <v>46233.708333333299</v>
      </c>
      <c r="D203" s="30" t="s">
        <v>5</v>
      </c>
      <c r="E203" s="30" t="s">
        <v>5</v>
      </c>
      <c r="F203" s="21" t="s">
        <v>444</v>
      </c>
      <c r="G203" s="25">
        <v>0</v>
      </c>
      <c r="H203" s="14">
        <v>120</v>
      </c>
      <c r="I203" s="18"/>
      <c r="J203" s="27">
        <v>1</v>
      </c>
      <c r="K203" s="29">
        <f t="shared" si="41"/>
        <v>2.375</v>
      </c>
      <c r="L203" s="29">
        <f t="shared" si="42"/>
        <v>0</v>
      </c>
      <c r="M203" s="19">
        <f t="shared" si="33"/>
        <v>2280</v>
      </c>
      <c r="N203" s="18">
        <f t="shared" si="34"/>
        <v>0</v>
      </c>
      <c r="O203" s="18">
        <f ca="1">IF(Table2[[#This Row],[BL Project Start]]&gt;$B$2, 0,M203)</f>
        <v>0</v>
      </c>
      <c r="P203" s="18">
        <f t="shared" si="35"/>
        <v>0</v>
      </c>
      <c r="Q203" s="14" t="str">
        <f t="shared" si="36"/>
        <v/>
      </c>
      <c r="R203" s="28" t="str">
        <f t="shared" ca="1" si="37"/>
        <v/>
      </c>
      <c r="S203" s="23">
        <f t="shared" si="38"/>
        <v>0</v>
      </c>
      <c r="T203" s="23">
        <f t="shared" ca="1" si="39"/>
        <v>0</v>
      </c>
      <c r="U203" s="23">
        <f t="shared" si="40"/>
        <v>2280</v>
      </c>
      <c r="V203" s="33">
        <f t="shared" si="43"/>
        <v>46234</v>
      </c>
    </row>
    <row r="204" spans="1:22" ht="14.5" x14ac:dyDescent="0.35">
      <c r="A204" s="32" t="s">
        <v>448</v>
      </c>
      <c r="B204" s="30">
        <v>46234.333333333299</v>
      </c>
      <c r="C204" s="30">
        <v>46247.708333333299</v>
      </c>
      <c r="D204" s="30" t="s">
        <v>5</v>
      </c>
      <c r="E204" s="30" t="s">
        <v>5</v>
      </c>
      <c r="F204" s="21" t="s">
        <v>444</v>
      </c>
      <c r="G204" s="25">
        <v>0</v>
      </c>
      <c r="H204" s="14">
        <v>120</v>
      </c>
      <c r="I204" s="18"/>
      <c r="J204" s="27">
        <v>1</v>
      </c>
      <c r="K204" s="29">
        <f t="shared" si="41"/>
        <v>13.375</v>
      </c>
      <c r="L204" s="29">
        <f t="shared" si="42"/>
        <v>0</v>
      </c>
      <c r="M204" s="19">
        <f t="shared" si="33"/>
        <v>12840</v>
      </c>
      <c r="N204" s="18">
        <f t="shared" si="34"/>
        <v>0</v>
      </c>
      <c r="O204" s="18">
        <f ca="1">IF(Table2[[#This Row],[BL Project Start]]&gt;$B$2, 0,M204)</f>
        <v>0</v>
      </c>
      <c r="P204" s="18">
        <f t="shared" si="35"/>
        <v>0</v>
      </c>
      <c r="Q204" s="14" t="str">
        <f t="shared" si="36"/>
        <v/>
      </c>
      <c r="R204" s="28" t="str">
        <f t="shared" ca="1" si="37"/>
        <v/>
      </c>
      <c r="S204" s="23">
        <f t="shared" si="38"/>
        <v>0</v>
      </c>
      <c r="T204" s="23">
        <f t="shared" ca="1" si="39"/>
        <v>0</v>
      </c>
      <c r="U204" s="23">
        <f t="shared" si="40"/>
        <v>12840</v>
      </c>
      <c r="V204" s="33">
        <f t="shared" si="43"/>
        <v>46265</v>
      </c>
    </row>
    <row r="205" spans="1:22" ht="14.5" x14ac:dyDescent="0.35">
      <c r="A205" s="32" t="s">
        <v>450</v>
      </c>
      <c r="B205" s="30">
        <v>46203.333333333299</v>
      </c>
      <c r="C205" s="30">
        <v>46209.708333333299</v>
      </c>
      <c r="D205" s="30" t="s">
        <v>5</v>
      </c>
      <c r="E205" s="30" t="s">
        <v>5</v>
      </c>
      <c r="F205" s="21" t="s">
        <v>444</v>
      </c>
      <c r="G205" s="25">
        <v>0</v>
      </c>
      <c r="H205" s="14">
        <v>120</v>
      </c>
      <c r="I205" s="18"/>
      <c r="J205" s="27">
        <v>1</v>
      </c>
      <c r="K205" s="29">
        <f t="shared" si="41"/>
        <v>6.375</v>
      </c>
      <c r="L205" s="29">
        <f t="shared" si="42"/>
        <v>0</v>
      </c>
      <c r="M205" s="19">
        <f t="shared" si="33"/>
        <v>6120</v>
      </c>
      <c r="N205" s="18">
        <f t="shared" si="34"/>
        <v>0</v>
      </c>
      <c r="O205" s="18">
        <f ca="1">IF(Table2[[#This Row],[BL Project Start]]&gt;$B$2, 0,M205)</f>
        <v>0</v>
      </c>
      <c r="P205" s="18">
        <f t="shared" si="35"/>
        <v>0</v>
      </c>
      <c r="Q205" s="14" t="str">
        <f t="shared" si="36"/>
        <v/>
      </c>
      <c r="R205" s="28" t="str">
        <f t="shared" ca="1" si="37"/>
        <v/>
      </c>
      <c r="S205" s="23">
        <f t="shared" si="38"/>
        <v>0</v>
      </c>
      <c r="T205" s="23">
        <f t="shared" ca="1" si="39"/>
        <v>0</v>
      </c>
      <c r="U205" s="23">
        <f t="shared" si="40"/>
        <v>6120</v>
      </c>
      <c r="V205" s="33">
        <f t="shared" si="43"/>
        <v>46234</v>
      </c>
    </row>
    <row r="206" spans="1:22" ht="14.5" x14ac:dyDescent="0.35">
      <c r="A206" s="32" t="s">
        <v>452</v>
      </c>
      <c r="B206" s="30">
        <v>46248.333333333299</v>
      </c>
      <c r="C206" s="30" t="s">
        <v>5</v>
      </c>
      <c r="D206" s="30" t="s">
        <v>5</v>
      </c>
      <c r="E206" s="30" t="s">
        <v>5</v>
      </c>
      <c r="F206" s="21" t="s">
        <v>5</v>
      </c>
      <c r="G206" s="25">
        <v>0</v>
      </c>
      <c r="H206" s="14" t="s">
        <v>5</v>
      </c>
      <c r="I206" s="18"/>
      <c r="J206" s="27">
        <v>1</v>
      </c>
      <c r="K206" s="29">
        <f t="shared" si="41"/>
        <v>0</v>
      </c>
      <c r="L206" s="29">
        <f t="shared" si="42"/>
        <v>0</v>
      </c>
      <c r="M206" s="19">
        <f t="shared" si="33"/>
        <v>0</v>
      </c>
      <c r="N206" s="18">
        <f t="shared" si="34"/>
        <v>0</v>
      </c>
      <c r="O206" s="18">
        <f ca="1">IF(Table2[[#This Row],[BL Project Start]]&gt;$B$2, 0,M206)</f>
        <v>0</v>
      </c>
      <c r="P206" s="18">
        <f t="shared" si="35"/>
        <v>0</v>
      </c>
      <c r="Q206" s="14" t="str">
        <f t="shared" si="36"/>
        <v/>
      </c>
      <c r="R206" s="28" t="str">
        <f t="shared" ca="1" si="37"/>
        <v/>
      </c>
      <c r="S206" s="23">
        <f t="shared" si="38"/>
        <v>0</v>
      </c>
      <c r="T206" s="23">
        <f t="shared" ca="1" si="39"/>
        <v>0</v>
      </c>
      <c r="U206" s="23">
        <f t="shared" si="40"/>
        <v>0</v>
      </c>
      <c r="V206" s="33">
        <f t="shared" si="43"/>
        <v>46265</v>
      </c>
    </row>
    <row r="207" spans="1:22" ht="14.5" x14ac:dyDescent="0.35">
      <c r="A207" s="32" t="s">
        <v>454</v>
      </c>
      <c r="B207" s="30">
        <v>46248.333333333299</v>
      </c>
      <c r="C207" s="30">
        <v>46258.708333333299</v>
      </c>
      <c r="D207" s="30" t="s">
        <v>5</v>
      </c>
      <c r="E207" s="30" t="s">
        <v>5</v>
      </c>
      <c r="F207" s="21" t="s">
        <v>444</v>
      </c>
      <c r="G207" s="25">
        <v>0</v>
      </c>
      <c r="H207" s="14">
        <v>120</v>
      </c>
      <c r="I207" s="18"/>
      <c r="J207" s="27">
        <v>1</v>
      </c>
      <c r="K207" s="29">
        <f t="shared" si="41"/>
        <v>10.375</v>
      </c>
      <c r="L207" s="29">
        <f t="shared" si="42"/>
        <v>0</v>
      </c>
      <c r="M207" s="19">
        <f t="shared" si="33"/>
        <v>9960</v>
      </c>
      <c r="N207" s="18">
        <f t="shared" si="34"/>
        <v>0</v>
      </c>
      <c r="O207" s="18">
        <f ca="1">IF(Table2[[#This Row],[BL Project Start]]&gt;$B$2, 0,M207)</f>
        <v>0</v>
      </c>
      <c r="P207" s="18">
        <f t="shared" si="35"/>
        <v>0</v>
      </c>
      <c r="Q207" s="14" t="str">
        <f t="shared" si="36"/>
        <v/>
      </c>
      <c r="R207" s="28" t="str">
        <f t="shared" ca="1" si="37"/>
        <v/>
      </c>
      <c r="S207" s="23">
        <f t="shared" si="38"/>
        <v>0</v>
      </c>
      <c r="T207" s="23">
        <f t="shared" ca="1" si="39"/>
        <v>0</v>
      </c>
      <c r="U207" s="23">
        <f t="shared" si="40"/>
        <v>9960</v>
      </c>
      <c r="V207" s="33">
        <f t="shared" si="43"/>
        <v>46265</v>
      </c>
    </row>
    <row r="208" spans="1:22" ht="14.5" x14ac:dyDescent="0.35">
      <c r="A208" s="32" t="s">
        <v>456</v>
      </c>
      <c r="B208" s="30">
        <v>46259.333333333299</v>
      </c>
      <c r="C208" s="30">
        <v>46272.708333333299</v>
      </c>
      <c r="D208" s="30" t="s">
        <v>5</v>
      </c>
      <c r="E208" s="30" t="s">
        <v>5</v>
      </c>
      <c r="F208" s="21" t="s">
        <v>429</v>
      </c>
      <c r="G208" s="25">
        <v>0</v>
      </c>
      <c r="H208" s="14">
        <v>160</v>
      </c>
      <c r="I208" s="18"/>
      <c r="J208" s="27">
        <v>1</v>
      </c>
      <c r="K208" s="29">
        <f t="shared" si="41"/>
        <v>13.375</v>
      </c>
      <c r="L208" s="29">
        <f t="shared" si="42"/>
        <v>0</v>
      </c>
      <c r="M208" s="19">
        <f t="shared" si="33"/>
        <v>17120</v>
      </c>
      <c r="N208" s="18">
        <f t="shared" si="34"/>
        <v>0</v>
      </c>
      <c r="O208" s="18">
        <f ca="1">IF(Table2[[#This Row],[BL Project Start]]&gt;$B$2, 0,M208)</f>
        <v>0</v>
      </c>
      <c r="P208" s="18">
        <f t="shared" si="35"/>
        <v>0</v>
      </c>
      <c r="Q208" s="14" t="str">
        <f t="shared" si="36"/>
        <v/>
      </c>
      <c r="R208" s="28" t="str">
        <f t="shared" ca="1" si="37"/>
        <v/>
      </c>
      <c r="S208" s="23">
        <f t="shared" si="38"/>
        <v>0</v>
      </c>
      <c r="T208" s="23">
        <f t="shared" ca="1" si="39"/>
        <v>0</v>
      </c>
      <c r="U208" s="23">
        <f t="shared" si="40"/>
        <v>17120</v>
      </c>
      <c r="V208" s="33">
        <f t="shared" si="43"/>
        <v>46295</v>
      </c>
    </row>
    <row r="209" spans="1:22" ht="14.5" x14ac:dyDescent="0.35">
      <c r="A209" s="32" t="s">
        <v>458</v>
      </c>
      <c r="B209" s="30">
        <v>46287.333333333299</v>
      </c>
      <c r="C209" s="30">
        <v>46314.708333333299</v>
      </c>
      <c r="D209" s="30" t="s">
        <v>5</v>
      </c>
      <c r="E209" s="30" t="s">
        <v>5</v>
      </c>
      <c r="F209" s="21" t="s">
        <v>5</v>
      </c>
      <c r="G209" s="25">
        <v>0</v>
      </c>
      <c r="H209" s="14" t="s">
        <v>5</v>
      </c>
      <c r="I209" s="18"/>
      <c r="J209" s="27">
        <v>1</v>
      </c>
      <c r="K209" s="29">
        <f t="shared" si="41"/>
        <v>27.375</v>
      </c>
      <c r="L209" s="29">
        <f t="shared" si="42"/>
        <v>0</v>
      </c>
      <c r="M209" s="19">
        <f t="shared" si="33"/>
        <v>0</v>
      </c>
      <c r="N209" s="18">
        <f t="shared" si="34"/>
        <v>0</v>
      </c>
      <c r="O209" s="18">
        <f ca="1">IF(Table2[[#This Row],[BL Project Start]]&gt;$B$2, 0,M209)</f>
        <v>0</v>
      </c>
      <c r="P209" s="18">
        <f t="shared" si="35"/>
        <v>0</v>
      </c>
      <c r="Q209" s="14" t="str">
        <f t="shared" si="36"/>
        <v/>
      </c>
      <c r="R209" s="28" t="str">
        <f t="shared" ca="1" si="37"/>
        <v/>
      </c>
      <c r="S209" s="23">
        <f t="shared" si="38"/>
        <v>0</v>
      </c>
      <c r="T209" s="23">
        <f t="shared" ca="1" si="39"/>
        <v>0</v>
      </c>
      <c r="U209" s="23">
        <f t="shared" si="40"/>
        <v>0</v>
      </c>
      <c r="V209" s="33">
        <f t="shared" si="43"/>
        <v>46326</v>
      </c>
    </row>
    <row r="210" spans="1:22" ht="14.5" x14ac:dyDescent="0.35">
      <c r="A210" s="32" t="s">
        <v>461</v>
      </c>
      <c r="B210" s="30">
        <v>46259.333333333299</v>
      </c>
      <c r="C210" s="30">
        <v>46286.708333333299</v>
      </c>
      <c r="D210" s="30" t="s">
        <v>5</v>
      </c>
      <c r="E210" s="30" t="s">
        <v>5</v>
      </c>
      <c r="F210" s="21" t="s">
        <v>459</v>
      </c>
      <c r="G210" s="25">
        <v>0</v>
      </c>
      <c r="H210" s="14">
        <v>95</v>
      </c>
      <c r="I210" s="18"/>
      <c r="J210" s="27">
        <v>1</v>
      </c>
      <c r="K210" s="29">
        <f t="shared" si="41"/>
        <v>27.375</v>
      </c>
      <c r="L210" s="29">
        <f t="shared" si="42"/>
        <v>0</v>
      </c>
      <c r="M210" s="19">
        <f t="shared" si="33"/>
        <v>20805</v>
      </c>
      <c r="N210" s="18">
        <f t="shared" si="34"/>
        <v>0</v>
      </c>
      <c r="O210" s="18">
        <f ca="1">IF(Table2[[#This Row],[BL Project Start]]&gt;$B$2, 0,M210)</f>
        <v>0</v>
      </c>
      <c r="P210" s="18">
        <f t="shared" si="35"/>
        <v>0</v>
      </c>
      <c r="Q210" s="14" t="str">
        <f t="shared" si="36"/>
        <v/>
      </c>
      <c r="R210" s="28" t="str">
        <f t="shared" ca="1" si="37"/>
        <v/>
      </c>
      <c r="S210" s="23">
        <f t="shared" si="38"/>
        <v>0</v>
      </c>
      <c r="T210" s="23">
        <f t="shared" ca="1" si="39"/>
        <v>0</v>
      </c>
      <c r="U210" s="23">
        <f t="shared" si="40"/>
        <v>20805</v>
      </c>
      <c r="V210" s="33">
        <f t="shared" si="43"/>
        <v>46295</v>
      </c>
    </row>
    <row r="211" spans="1:22" ht="14.5" x14ac:dyDescent="0.35">
      <c r="A211" s="32" t="s">
        <v>463</v>
      </c>
      <c r="B211" s="30">
        <v>46259.333333333299</v>
      </c>
      <c r="C211" s="30">
        <v>46286.708333333299</v>
      </c>
      <c r="D211" s="30" t="s">
        <v>5</v>
      </c>
      <c r="E211" s="30" t="s">
        <v>5</v>
      </c>
      <c r="F211" s="21" t="s">
        <v>459</v>
      </c>
      <c r="G211" s="25">
        <v>0</v>
      </c>
      <c r="H211" s="14">
        <v>95</v>
      </c>
      <c r="I211" s="18"/>
      <c r="J211" s="27">
        <v>1</v>
      </c>
      <c r="K211" s="29">
        <f t="shared" si="41"/>
        <v>27.375</v>
      </c>
      <c r="L211" s="29">
        <f t="shared" si="42"/>
        <v>0</v>
      </c>
      <c r="M211" s="19">
        <f t="shared" si="33"/>
        <v>20805</v>
      </c>
      <c r="N211" s="18">
        <f t="shared" si="34"/>
        <v>0</v>
      </c>
      <c r="O211" s="18">
        <f ca="1">IF(Table2[[#This Row],[BL Project Start]]&gt;$B$2, 0,M211)</f>
        <v>0</v>
      </c>
      <c r="P211" s="18">
        <f t="shared" si="35"/>
        <v>0</v>
      </c>
      <c r="Q211" s="14" t="str">
        <f t="shared" si="36"/>
        <v/>
      </c>
      <c r="R211" s="28" t="str">
        <f t="shared" ca="1" si="37"/>
        <v/>
      </c>
      <c r="S211" s="23">
        <f t="shared" si="38"/>
        <v>0</v>
      </c>
      <c r="T211" s="23">
        <f t="shared" ca="1" si="39"/>
        <v>0</v>
      </c>
      <c r="U211" s="23">
        <f t="shared" si="40"/>
        <v>20805</v>
      </c>
      <c r="V211" s="33">
        <f t="shared" si="43"/>
        <v>46295</v>
      </c>
    </row>
    <row r="212" spans="1:22" ht="14.5" x14ac:dyDescent="0.35">
      <c r="A212" s="34" t="s">
        <v>465</v>
      </c>
      <c r="B212" s="35">
        <v>46259.333333333299</v>
      </c>
      <c r="C212" s="35">
        <v>46279.708333333299</v>
      </c>
      <c r="D212" s="35" t="s">
        <v>5</v>
      </c>
      <c r="E212" s="35" t="s">
        <v>5</v>
      </c>
      <c r="F212" s="36" t="s">
        <v>466</v>
      </c>
      <c r="G212" s="37">
        <v>0</v>
      </c>
      <c r="H212" s="38">
        <v>90</v>
      </c>
      <c r="I212" s="39"/>
      <c r="J212" s="40">
        <v>1</v>
      </c>
      <c r="K212" s="41">
        <f t="shared" si="41"/>
        <v>20.375</v>
      </c>
      <c r="L212" s="41">
        <f t="shared" si="42"/>
        <v>0</v>
      </c>
      <c r="M212" s="42">
        <f t="shared" si="33"/>
        <v>14670</v>
      </c>
      <c r="N212" s="39">
        <f t="shared" si="34"/>
        <v>0</v>
      </c>
      <c r="O212" s="18">
        <f ca="1">IF(Table2[[#This Row],[BL Project Start]]&gt;$B$2, 0,M212)</f>
        <v>0</v>
      </c>
      <c r="P212" s="39">
        <f t="shared" si="35"/>
        <v>0</v>
      </c>
      <c r="Q212" s="38" t="str">
        <f t="shared" si="36"/>
        <v/>
      </c>
      <c r="R212" s="43" t="str">
        <f t="shared" ca="1" si="37"/>
        <v/>
      </c>
      <c r="S212" s="44">
        <f t="shared" si="38"/>
        <v>0</v>
      </c>
      <c r="T212" s="44">
        <f t="shared" ca="1" si="39"/>
        <v>0</v>
      </c>
      <c r="U212" s="44">
        <f t="shared" si="40"/>
        <v>14670</v>
      </c>
      <c r="V212" s="45">
        <f t="shared" si="43"/>
        <v>46295</v>
      </c>
    </row>
    <row r="213" spans="1:22" ht="14.5" x14ac:dyDescent="0.35">
      <c r="G213" s="65"/>
      <c r="H213" s="13"/>
      <c r="K213" s="66"/>
      <c r="L213" s="66"/>
      <c r="M213" s="69">
        <f>SUM(Table2[BAC])</f>
        <v>73608565</v>
      </c>
      <c r="N213" s="69">
        <f>SUM(Table2[AC])</f>
        <v>72935839.999999836</v>
      </c>
      <c r="O213" s="69">
        <f ca="1">SUM(Table2[PV])</f>
        <v>73144430</v>
      </c>
      <c r="P213" s="69">
        <f>SUM(Table2[EV])</f>
        <v>72978010.405999988</v>
      </c>
      <c r="Q213" s="13"/>
      <c r="R213" s="67"/>
      <c r="S213" s="68"/>
      <c r="T213" s="68"/>
      <c r="U213" s="68"/>
      <c r="V213" s="12"/>
    </row>
  </sheetData>
  <conditionalFormatting sqref="Q1:Q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scale="2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3A14-F1D3-420A-9894-9D4E4C4E65FE}">
  <dimension ref="A1:G66"/>
  <sheetViews>
    <sheetView topLeftCell="C1" zoomScaleNormal="100" workbookViewId="0">
      <selection activeCell="D41" sqref="D41"/>
    </sheetView>
  </sheetViews>
  <sheetFormatPr defaultColWidth="60.54296875" defaultRowHeight="12.5" x14ac:dyDescent="0.25"/>
  <cols>
    <col min="1" max="1" width="6.26953125" style="2" bestFit="1" customWidth="1"/>
    <col min="2" max="2" width="15" style="2" bestFit="1" customWidth="1"/>
    <col min="3" max="3" width="33.54296875" style="2" bestFit="1" customWidth="1"/>
    <col min="4" max="4" width="33.54296875" style="2" customWidth="1"/>
    <col min="5" max="6" width="10" style="2" bestFit="1" customWidth="1"/>
    <col min="7" max="7" width="14.453125" style="2" bestFit="1" customWidth="1"/>
    <col min="8" max="16384" width="60.54296875" style="2"/>
  </cols>
  <sheetData>
    <row r="1" spans="1:7" x14ac:dyDescent="0.25">
      <c r="A1" s="3" t="s">
        <v>547</v>
      </c>
      <c r="B1" s="3" t="s">
        <v>548</v>
      </c>
      <c r="C1" s="3" t="s">
        <v>683</v>
      </c>
      <c r="D1" s="3" t="s">
        <v>684</v>
      </c>
      <c r="E1" s="3" t="s">
        <v>549</v>
      </c>
      <c r="F1" s="3" t="s">
        <v>550</v>
      </c>
      <c r="G1" s="3" t="s">
        <v>551</v>
      </c>
    </row>
    <row r="2" spans="1:7" x14ac:dyDescent="0.25">
      <c r="A2" s="4" t="s">
        <v>552</v>
      </c>
      <c r="B2" s="4" t="s">
        <v>553</v>
      </c>
      <c r="C2" s="4" t="s">
        <v>38</v>
      </c>
      <c r="D2" s="4"/>
      <c r="E2" s="5">
        <v>1</v>
      </c>
      <c r="F2" s="6" t="s">
        <v>554</v>
      </c>
      <c r="G2" s="7">
        <v>0</v>
      </c>
    </row>
    <row r="3" spans="1:7" x14ac:dyDescent="0.25">
      <c r="A3" s="4" t="s">
        <v>555</v>
      </c>
      <c r="B3" s="4" t="s">
        <v>553</v>
      </c>
      <c r="C3" s="4" t="s">
        <v>29</v>
      </c>
      <c r="D3" s="4"/>
      <c r="E3" s="5">
        <v>1</v>
      </c>
      <c r="F3" s="6" t="s">
        <v>556</v>
      </c>
      <c r="G3" s="7">
        <v>0</v>
      </c>
    </row>
    <row r="4" spans="1:7" x14ac:dyDescent="0.25">
      <c r="A4" s="4" t="s">
        <v>557</v>
      </c>
      <c r="B4" s="4" t="s">
        <v>553</v>
      </c>
      <c r="C4" s="4" t="s">
        <v>32</v>
      </c>
      <c r="D4" s="4"/>
      <c r="E4" s="5">
        <v>1</v>
      </c>
      <c r="F4" s="6" t="s">
        <v>558</v>
      </c>
      <c r="G4" s="7">
        <v>0</v>
      </c>
    </row>
    <row r="5" spans="1:7" x14ac:dyDescent="0.25">
      <c r="A5" s="4" t="s">
        <v>559</v>
      </c>
      <c r="B5" s="4" t="s">
        <v>553</v>
      </c>
      <c r="C5" s="4" t="s">
        <v>35</v>
      </c>
      <c r="D5" s="4"/>
      <c r="E5" s="5">
        <v>1</v>
      </c>
      <c r="F5" s="6" t="s">
        <v>558</v>
      </c>
      <c r="G5" s="7">
        <v>0</v>
      </c>
    </row>
    <row r="6" spans="1:7" x14ac:dyDescent="0.25">
      <c r="A6" s="4" t="s">
        <v>560</v>
      </c>
      <c r="B6" s="4" t="s">
        <v>553</v>
      </c>
      <c r="C6" s="4" t="s">
        <v>482</v>
      </c>
      <c r="D6" s="4"/>
      <c r="E6" s="5">
        <v>1</v>
      </c>
      <c r="F6" s="6" t="s">
        <v>561</v>
      </c>
      <c r="G6" s="7">
        <v>0</v>
      </c>
    </row>
    <row r="7" spans="1:7" x14ac:dyDescent="0.25">
      <c r="A7" s="4" t="s">
        <v>562</v>
      </c>
      <c r="B7" s="4" t="s">
        <v>553</v>
      </c>
      <c r="C7" s="4" t="s">
        <v>252</v>
      </c>
      <c r="D7" s="4"/>
      <c r="E7" s="5">
        <v>1</v>
      </c>
      <c r="F7" s="6" t="s">
        <v>563</v>
      </c>
      <c r="G7" s="7">
        <v>0</v>
      </c>
    </row>
    <row r="8" spans="1:7" x14ac:dyDescent="0.25">
      <c r="A8" s="4" t="s">
        <v>564</v>
      </c>
      <c r="B8" s="4" t="s">
        <v>473</v>
      </c>
      <c r="C8" s="4" t="s">
        <v>47</v>
      </c>
      <c r="D8" s="4"/>
      <c r="E8" s="5">
        <v>1</v>
      </c>
      <c r="F8" s="6" t="s">
        <v>565</v>
      </c>
      <c r="G8" s="7">
        <v>0</v>
      </c>
    </row>
    <row r="9" spans="1:7" x14ac:dyDescent="0.25">
      <c r="A9" s="4" t="s">
        <v>566</v>
      </c>
      <c r="B9" s="4" t="s">
        <v>473</v>
      </c>
      <c r="C9" s="4" t="s">
        <v>50</v>
      </c>
      <c r="D9" s="4"/>
      <c r="E9" s="5">
        <v>2</v>
      </c>
      <c r="F9" s="6" t="s">
        <v>567</v>
      </c>
      <c r="G9" s="7">
        <v>0</v>
      </c>
    </row>
    <row r="10" spans="1:7" x14ac:dyDescent="0.25">
      <c r="A10" s="4" t="s">
        <v>568</v>
      </c>
      <c r="B10" s="4" t="s">
        <v>473</v>
      </c>
      <c r="C10" s="4" t="s">
        <v>83</v>
      </c>
      <c r="D10" s="4"/>
      <c r="E10" s="5">
        <v>2</v>
      </c>
      <c r="F10" s="6" t="s">
        <v>567</v>
      </c>
      <c r="G10" s="7">
        <v>0</v>
      </c>
    </row>
    <row r="11" spans="1:7" x14ac:dyDescent="0.25">
      <c r="A11" s="4" t="s">
        <v>569</v>
      </c>
      <c r="B11" s="4" t="s">
        <v>473</v>
      </c>
      <c r="C11" s="4" t="s">
        <v>112</v>
      </c>
      <c r="D11" s="4"/>
      <c r="E11" s="5">
        <v>1.5</v>
      </c>
      <c r="F11" s="6" t="s">
        <v>567</v>
      </c>
      <c r="G11" s="7">
        <v>0</v>
      </c>
    </row>
    <row r="12" spans="1:7" x14ac:dyDescent="0.25">
      <c r="A12" s="4" t="s">
        <v>570</v>
      </c>
      <c r="B12" s="4" t="s">
        <v>473</v>
      </c>
      <c r="C12" s="4" t="s">
        <v>129</v>
      </c>
      <c r="D12" s="4"/>
      <c r="E12" s="5">
        <v>1.5</v>
      </c>
      <c r="F12" s="6" t="s">
        <v>567</v>
      </c>
      <c r="G12" s="7">
        <v>0</v>
      </c>
    </row>
    <row r="13" spans="1:7" x14ac:dyDescent="0.25">
      <c r="A13" s="4" t="s">
        <v>571</v>
      </c>
      <c r="B13" s="4" t="s">
        <v>473</v>
      </c>
      <c r="C13" s="4" t="s">
        <v>70</v>
      </c>
      <c r="D13" s="4"/>
      <c r="E13" s="5">
        <v>1.5</v>
      </c>
      <c r="F13" s="6" t="s">
        <v>567</v>
      </c>
      <c r="G13" s="7">
        <v>0</v>
      </c>
    </row>
    <row r="14" spans="1:7" x14ac:dyDescent="0.25">
      <c r="A14" s="4" t="s">
        <v>572</v>
      </c>
      <c r="B14" s="4" t="s">
        <v>473</v>
      </c>
      <c r="C14" s="4" t="s">
        <v>160</v>
      </c>
      <c r="D14" s="4"/>
      <c r="E14" s="5">
        <v>1.5</v>
      </c>
      <c r="F14" s="6" t="s">
        <v>567</v>
      </c>
      <c r="G14" s="7">
        <v>0</v>
      </c>
    </row>
    <row r="15" spans="1:7" x14ac:dyDescent="0.25">
      <c r="A15" s="4" t="s">
        <v>573</v>
      </c>
      <c r="B15" s="4" t="s">
        <v>473</v>
      </c>
      <c r="C15" s="4" t="s">
        <v>55</v>
      </c>
      <c r="D15" s="4"/>
      <c r="E15" s="5">
        <v>3</v>
      </c>
      <c r="F15" s="6" t="s">
        <v>563</v>
      </c>
      <c r="G15" s="7">
        <v>0</v>
      </c>
    </row>
    <row r="16" spans="1:7" x14ac:dyDescent="0.25">
      <c r="A16" s="4" t="s">
        <v>574</v>
      </c>
      <c r="B16" s="4" t="s">
        <v>575</v>
      </c>
      <c r="C16" s="4" t="s">
        <v>194</v>
      </c>
      <c r="D16" s="4"/>
      <c r="E16" s="5">
        <v>1</v>
      </c>
      <c r="F16" s="6" t="s">
        <v>558</v>
      </c>
      <c r="G16" s="7">
        <v>0</v>
      </c>
    </row>
    <row r="17" spans="1:7" x14ac:dyDescent="0.25">
      <c r="A17" s="4" t="s">
        <v>576</v>
      </c>
      <c r="B17" s="4" t="s">
        <v>575</v>
      </c>
      <c r="C17" s="4" t="s">
        <v>213</v>
      </c>
      <c r="D17" s="4"/>
      <c r="E17" s="5">
        <v>2</v>
      </c>
      <c r="F17" s="6" t="s">
        <v>563</v>
      </c>
      <c r="G17" s="7">
        <v>0</v>
      </c>
    </row>
    <row r="18" spans="1:7" x14ac:dyDescent="0.25">
      <c r="A18" s="4" t="s">
        <v>577</v>
      </c>
      <c r="B18" s="4" t="s">
        <v>575</v>
      </c>
      <c r="C18" s="4" t="s">
        <v>210</v>
      </c>
      <c r="D18" s="4"/>
      <c r="E18" s="5">
        <v>1.5</v>
      </c>
      <c r="F18" s="6" t="s">
        <v>578</v>
      </c>
      <c r="G18" s="7">
        <v>0</v>
      </c>
    </row>
    <row r="19" spans="1:7" x14ac:dyDescent="0.25">
      <c r="A19" s="4" t="s">
        <v>579</v>
      </c>
      <c r="B19" s="4" t="s">
        <v>580</v>
      </c>
      <c r="C19" s="4" t="s">
        <v>177</v>
      </c>
      <c r="D19" s="4"/>
      <c r="E19" s="5">
        <v>1</v>
      </c>
      <c r="F19" s="6" t="s">
        <v>581</v>
      </c>
      <c r="G19" s="7">
        <v>0</v>
      </c>
    </row>
    <row r="20" spans="1:7" x14ac:dyDescent="0.25">
      <c r="A20" s="4" t="s">
        <v>582</v>
      </c>
      <c r="B20" s="4" t="s">
        <v>580</v>
      </c>
      <c r="C20" s="4" t="s">
        <v>185</v>
      </c>
      <c r="D20" s="4"/>
      <c r="E20" s="5">
        <v>2</v>
      </c>
      <c r="F20" s="6" t="s">
        <v>583</v>
      </c>
      <c r="G20" s="7">
        <v>0</v>
      </c>
    </row>
    <row r="21" spans="1:7" x14ac:dyDescent="0.25">
      <c r="A21" s="4" t="s">
        <v>584</v>
      </c>
      <c r="B21" s="4" t="s">
        <v>580</v>
      </c>
      <c r="C21" s="4" t="s">
        <v>182</v>
      </c>
      <c r="D21" s="4"/>
      <c r="E21" s="5">
        <v>1</v>
      </c>
      <c r="F21" s="6" t="s">
        <v>585</v>
      </c>
      <c r="G21" s="7">
        <v>0</v>
      </c>
    </row>
    <row r="22" spans="1:7" x14ac:dyDescent="0.25">
      <c r="A22" s="4" t="s">
        <v>586</v>
      </c>
      <c r="B22" s="4" t="s">
        <v>587</v>
      </c>
      <c r="C22" s="4" t="s">
        <v>368</v>
      </c>
      <c r="D22" s="4"/>
      <c r="E22" s="5">
        <v>1</v>
      </c>
      <c r="F22" s="6" t="s">
        <v>565</v>
      </c>
      <c r="G22" s="7">
        <v>0</v>
      </c>
    </row>
    <row r="23" spans="1:7" x14ac:dyDescent="0.25">
      <c r="A23" s="4" t="s">
        <v>588</v>
      </c>
      <c r="B23" s="4" t="s">
        <v>587</v>
      </c>
      <c r="C23" s="4" t="s">
        <v>483</v>
      </c>
      <c r="D23" s="4"/>
      <c r="E23" s="5">
        <v>1</v>
      </c>
      <c r="F23" s="6" t="s">
        <v>578</v>
      </c>
      <c r="G23" s="7">
        <v>0</v>
      </c>
    </row>
    <row r="24" spans="1:7" x14ac:dyDescent="0.25">
      <c r="A24" s="4" t="s">
        <v>589</v>
      </c>
      <c r="B24" s="4" t="s">
        <v>587</v>
      </c>
      <c r="C24" s="4" t="s">
        <v>376</v>
      </c>
      <c r="D24" s="4"/>
      <c r="E24" s="5">
        <v>1.5</v>
      </c>
      <c r="F24" s="6" t="s">
        <v>578</v>
      </c>
      <c r="G24" s="7">
        <v>0</v>
      </c>
    </row>
    <row r="25" spans="1:7" x14ac:dyDescent="0.25">
      <c r="A25" s="4" t="s">
        <v>590</v>
      </c>
      <c r="B25" s="4" t="s">
        <v>591</v>
      </c>
      <c r="C25" s="4" t="s">
        <v>269</v>
      </c>
      <c r="D25" s="4"/>
      <c r="E25" s="5">
        <v>3</v>
      </c>
      <c r="F25" s="6" t="s">
        <v>558</v>
      </c>
      <c r="G25" s="7">
        <v>0</v>
      </c>
    </row>
    <row r="26" spans="1:7" x14ac:dyDescent="0.25">
      <c r="A26" s="4" t="s">
        <v>592</v>
      </c>
      <c r="B26" s="4" t="s">
        <v>591</v>
      </c>
      <c r="C26" s="4" t="s">
        <v>484</v>
      </c>
      <c r="D26" s="4"/>
      <c r="E26" s="5">
        <v>4</v>
      </c>
      <c r="F26" s="6" t="s">
        <v>593</v>
      </c>
      <c r="G26" s="7">
        <v>0</v>
      </c>
    </row>
    <row r="27" spans="1:7" x14ac:dyDescent="0.25">
      <c r="A27" s="4" t="s">
        <v>594</v>
      </c>
      <c r="B27" s="4" t="s">
        <v>591</v>
      </c>
      <c r="C27" s="4" t="s">
        <v>485</v>
      </c>
      <c r="D27" s="4"/>
      <c r="E27" s="5">
        <v>3</v>
      </c>
      <c r="F27" s="6" t="s">
        <v>595</v>
      </c>
      <c r="G27" s="7">
        <v>0</v>
      </c>
    </row>
    <row r="28" spans="1:7" x14ac:dyDescent="0.25">
      <c r="A28" s="4" t="s">
        <v>596</v>
      </c>
      <c r="B28" s="4" t="s">
        <v>591</v>
      </c>
      <c r="C28" s="4" t="s">
        <v>278</v>
      </c>
      <c r="D28" s="4"/>
      <c r="E28" s="5">
        <v>4</v>
      </c>
      <c r="F28" s="6" t="s">
        <v>567</v>
      </c>
      <c r="G28" s="7">
        <v>0</v>
      </c>
    </row>
    <row r="29" spans="1:7" x14ac:dyDescent="0.25">
      <c r="A29" s="4" t="s">
        <v>597</v>
      </c>
      <c r="B29" s="4" t="s">
        <v>598</v>
      </c>
      <c r="C29" s="4" t="s">
        <v>291</v>
      </c>
      <c r="D29" s="4"/>
      <c r="E29" s="5">
        <v>5</v>
      </c>
      <c r="F29" s="6" t="s">
        <v>556</v>
      </c>
      <c r="G29" s="7">
        <v>0</v>
      </c>
    </row>
    <row r="30" spans="1:7" x14ac:dyDescent="0.25">
      <c r="A30" s="4" t="s">
        <v>599</v>
      </c>
      <c r="B30" s="4" t="s">
        <v>598</v>
      </c>
      <c r="C30" s="4" t="s">
        <v>486</v>
      </c>
      <c r="D30" s="4"/>
      <c r="E30" s="5">
        <v>2</v>
      </c>
      <c r="F30" s="6" t="s">
        <v>593</v>
      </c>
      <c r="G30" s="7">
        <v>0</v>
      </c>
    </row>
    <row r="31" spans="1:7" x14ac:dyDescent="0.25">
      <c r="A31" s="4" t="s">
        <v>600</v>
      </c>
      <c r="B31" s="4" t="s">
        <v>601</v>
      </c>
      <c r="C31" s="4" t="s">
        <v>300</v>
      </c>
      <c r="D31" s="4"/>
      <c r="E31" s="5">
        <v>3</v>
      </c>
      <c r="F31" s="6" t="s">
        <v>567</v>
      </c>
      <c r="G31" s="7">
        <v>0</v>
      </c>
    </row>
    <row r="32" spans="1:7" x14ac:dyDescent="0.25">
      <c r="A32" s="4" t="s">
        <v>602</v>
      </c>
      <c r="B32" s="4" t="s">
        <v>601</v>
      </c>
      <c r="C32" s="4" t="s">
        <v>303</v>
      </c>
      <c r="D32" s="4"/>
      <c r="E32" s="5">
        <v>3</v>
      </c>
      <c r="F32" s="6" t="s">
        <v>556</v>
      </c>
      <c r="G32" s="7">
        <v>0</v>
      </c>
    </row>
    <row r="33" spans="1:7" x14ac:dyDescent="0.25">
      <c r="A33" s="4" t="s">
        <v>603</v>
      </c>
      <c r="B33" s="4" t="s">
        <v>601</v>
      </c>
      <c r="C33" s="4" t="s">
        <v>310</v>
      </c>
      <c r="D33" s="4"/>
      <c r="E33" s="5">
        <v>6</v>
      </c>
      <c r="F33" s="6" t="s">
        <v>556</v>
      </c>
      <c r="G33" s="7">
        <v>0</v>
      </c>
    </row>
    <row r="34" spans="1:7" x14ac:dyDescent="0.25">
      <c r="A34" s="4" t="s">
        <v>604</v>
      </c>
      <c r="B34" s="4" t="s">
        <v>601</v>
      </c>
      <c r="C34" s="4" t="s">
        <v>371</v>
      </c>
      <c r="D34" s="4"/>
      <c r="E34" s="5">
        <v>6</v>
      </c>
      <c r="F34" s="6" t="s">
        <v>554</v>
      </c>
      <c r="G34" s="7">
        <v>0</v>
      </c>
    </row>
    <row r="35" spans="1:7" x14ac:dyDescent="0.25">
      <c r="A35" s="4" t="s">
        <v>605</v>
      </c>
      <c r="B35" s="4" t="s">
        <v>601</v>
      </c>
      <c r="C35" s="4" t="s">
        <v>319</v>
      </c>
      <c r="D35" s="4"/>
      <c r="E35" s="5">
        <v>2</v>
      </c>
      <c r="F35" s="6" t="s">
        <v>554</v>
      </c>
      <c r="G35" s="7">
        <v>0</v>
      </c>
    </row>
    <row r="36" spans="1:7" x14ac:dyDescent="0.25">
      <c r="A36" s="4" t="s">
        <v>606</v>
      </c>
      <c r="B36" s="4" t="s">
        <v>601</v>
      </c>
      <c r="C36" s="4" t="s">
        <v>325</v>
      </c>
      <c r="D36" s="4"/>
      <c r="E36" s="5">
        <v>2</v>
      </c>
      <c r="F36" s="6" t="s">
        <v>567</v>
      </c>
      <c r="G36" s="7">
        <v>0</v>
      </c>
    </row>
    <row r="37" spans="1:7" x14ac:dyDescent="0.25">
      <c r="A37" s="4" t="s">
        <v>607</v>
      </c>
      <c r="B37" s="4" t="s">
        <v>608</v>
      </c>
      <c r="C37" s="4" t="s">
        <v>328</v>
      </c>
      <c r="D37" s="4"/>
      <c r="E37" s="5">
        <v>5</v>
      </c>
      <c r="F37" s="6" t="s">
        <v>565</v>
      </c>
      <c r="G37" s="7">
        <v>0</v>
      </c>
    </row>
    <row r="38" spans="1:7" x14ac:dyDescent="0.25">
      <c r="A38" s="4" t="s">
        <v>609</v>
      </c>
      <c r="B38" s="4" t="s">
        <v>608</v>
      </c>
      <c r="C38" s="4" t="s">
        <v>348</v>
      </c>
      <c r="D38" s="4"/>
      <c r="E38" s="5">
        <v>4</v>
      </c>
      <c r="F38" s="6" t="s">
        <v>565</v>
      </c>
      <c r="G38" s="7">
        <v>0</v>
      </c>
    </row>
    <row r="39" spans="1:7" x14ac:dyDescent="0.25">
      <c r="A39" s="4" t="s">
        <v>610</v>
      </c>
      <c r="B39" s="4" t="s">
        <v>608</v>
      </c>
      <c r="C39" s="4" t="s">
        <v>331</v>
      </c>
      <c r="D39" s="4"/>
      <c r="E39" s="5">
        <v>3</v>
      </c>
      <c r="F39" s="6" t="s">
        <v>567</v>
      </c>
      <c r="G39" s="7">
        <v>0</v>
      </c>
    </row>
    <row r="40" spans="1:7" x14ac:dyDescent="0.25">
      <c r="A40" s="4" t="s">
        <v>611</v>
      </c>
      <c r="B40" s="4" t="s">
        <v>608</v>
      </c>
      <c r="C40" s="4" t="s">
        <v>334</v>
      </c>
      <c r="D40" s="4"/>
      <c r="E40" s="5">
        <v>3</v>
      </c>
      <c r="F40" s="6" t="s">
        <v>567</v>
      </c>
      <c r="G40" s="7">
        <v>0</v>
      </c>
    </row>
    <row r="41" spans="1:7" x14ac:dyDescent="0.25">
      <c r="A41" s="4" t="s">
        <v>612</v>
      </c>
      <c r="B41" s="4" t="s">
        <v>608</v>
      </c>
      <c r="C41" s="4" t="s">
        <v>341</v>
      </c>
      <c r="D41" s="4"/>
      <c r="E41" s="5">
        <v>3</v>
      </c>
      <c r="F41" s="6" t="s">
        <v>565</v>
      </c>
      <c r="G41" s="7">
        <v>0</v>
      </c>
    </row>
    <row r="42" spans="1:7" x14ac:dyDescent="0.25">
      <c r="A42" s="4" t="s">
        <v>613</v>
      </c>
      <c r="B42" s="4" t="s">
        <v>608</v>
      </c>
      <c r="C42" s="4" t="s">
        <v>474</v>
      </c>
      <c r="D42" s="4"/>
      <c r="E42" s="5">
        <v>2</v>
      </c>
      <c r="F42" s="6" t="s">
        <v>614</v>
      </c>
      <c r="G42" s="7">
        <v>0</v>
      </c>
    </row>
    <row r="43" spans="1:7" x14ac:dyDescent="0.25">
      <c r="A43" s="4" t="s">
        <v>615</v>
      </c>
      <c r="B43" s="4" t="s">
        <v>616</v>
      </c>
      <c r="C43" s="4" t="s">
        <v>381</v>
      </c>
      <c r="D43" s="4"/>
      <c r="E43" s="5">
        <v>1</v>
      </c>
      <c r="F43" s="6" t="s">
        <v>556</v>
      </c>
      <c r="G43" s="7">
        <v>0</v>
      </c>
    </row>
    <row r="44" spans="1:7" x14ac:dyDescent="0.25">
      <c r="A44" s="4" t="s">
        <v>617</v>
      </c>
      <c r="B44" s="4" t="s">
        <v>616</v>
      </c>
      <c r="C44" s="4" t="s">
        <v>384</v>
      </c>
      <c r="D44" s="4"/>
      <c r="E44" s="5">
        <v>4</v>
      </c>
      <c r="F44" s="6" t="s">
        <v>593</v>
      </c>
      <c r="G44" s="7">
        <v>0</v>
      </c>
    </row>
    <row r="45" spans="1:7" x14ac:dyDescent="0.25">
      <c r="A45" s="4" t="s">
        <v>618</v>
      </c>
      <c r="B45" s="4" t="s">
        <v>616</v>
      </c>
      <c r="C45" s="4" t="s">
        <v>391</v>
      </c>
      <c r="D45" s="4"/>
      <c r="E45" s="5">
        <v>3</v>
      </c>
      <c r="F45" s="6" t="s">
        <v>595</v>
      </c>
      <c r="G45" s="7">
        <v>0</v>
      </c>
    </row>
    <row r="46" spans="1:7" x14ac:dyDescent="0.25">
      <c r="A46" s="4" t="s">
        <v>619</v>
      </c>
      <c r="B46" s="4" t="s">
        <v>616</v>
      </c>
      <c r="C46" s="4" t="s">
        <v>394</v>
      </c>
      <c r="D46" s="4"/>
      <c r="E46" s="5">
        <v>2</v>
      </c>
      <c r="F46" s="6" t="s">
        <v>556</v>
      </c>
      <c r="G46" s="7">
        <v>0</v>
      </c>
    </row>
    <row r="47" spans="1:7" x14ac:dyDescent="0.25">
      <c r="A47" s="4" t="s">
        <v>620</v>
      </c>
      <c r="B47" s="4" t="s">
        <v>616</v>
      </c>
      <c r="C47" s="4" t="s">
        <v>397</v>
      </c>
      <c r="D47" s="4"/>
      <c r="E47" s="5">
        <v>6</v>
      </c>
      <c r="F47" s="6" t="s">
        <v>621</v>
      </c>
      <c r="G47" s="7">
        <v>0</v>
      </c>
    </row>
    <row r="48" spans="1:7" x14ac:dyDescent="0.25">
      <c r="A48" s="4" t="s">
        <v>622</v>
      </c>
      <c r="B48" s="4" t="s">
        <v>616</v>
      </c>
      <c r="C48" s="4" t="s">
        <v>400</v>
      </c>
      <c r="D48" s="4"/>
      <c r="E48" s="5">
        <v>3</v>
      </c>
      <c r="F48" s="6" t="s">
        <v>621</v>
      </c>
      <c r="G48" s="7">
        <v>0</v>
      </c>
    </row>
    <row r="49" spans="1:7" x14ac:dyDescent="0.25">
      <c r="A49" s="4" t="s">
        <v>623</v>
      </c>
      <c r="B49" s="4" t="s">
        <v>616</v>
      </c>
      <c r="C49" s="4" t="s">
        <v>403</v>
      </c>
      <c r="D49" s="4"/>
      <c r="E49" s="5">
        <v>3</v>
      </c>
      <c r="F49" s="6" t="s">
        <v>567</v>
      </c>
      <c r="G49" s="7">
        <v>0</v>
      </c>
    </row>
    <row r="50" spans="1:7" x14ac:dyDescent="0.25">
      <c r="A50" s="4" t="s">
        <v>624</v>
      </c>
      <c r="B50" s="4" t="s">
        <v>616</v>
      </c>
      <c r="C50" s="4" t="s">
        <v>406</v>
      </c>
      <c r="D50" s="4"/>
      <c r="E50" s="5">
        <v>3</v>
      </c>
      <c r="F50" s="6" t="s">
        <v>567</v>
      </c>
      <c r="G50" s="7">
        <v>0</v>
      </c>
    </row>
    <row r="51" spans="1:7" x14ac:dyDescent="0.25">
      <c r="A51" s="4" t="s">
        <v>625</v>
      </c>
      <c r="B51" s="4" t="s">
        <v>616</v>
      </c>
      <c r="C51" s="4" t="s">
        <v>322</v>
      </c>
      <c r="D51" s="4"/>
      <c r="E51" s="5">
        <v>2</v>
      </c>
      <c r="F51" s="6" t="s">
        <v>567</v>
      </c>
      <c r="G51" s="7">
        <v>0</v>
      </c>
    </row>
    <row r="52" spans="1:7" x14ac:dyDescent="0.25">
      <c r="A52" s="4" t="s">
        <v>626</v>
      </c>
      <c r="B52" s="4" t="s">
        <v>627</v>
      </c>
      <c r="C52" s="4" t="s">
        <v>429</v>
      </c>
      <c r="D52" s="4"/>
      <c r="E52" s="5">
        <v>1</v>
      </c>
      <c r="F52" s="6" t="s">
        <v>614</v>
      </c>
      <c r="G52" s="7">
        <v>0</v>
      </c>
    </row>
    <row r="53" spans="1:7" x14ac:dyDescent="0.25">
      <c r="A53" s="4" t="s">
        <v>628</v>
      </c>
      <c r="B53" s="4" t="s">
        <v>627</v>
      </c>
      <c r="C53" s="4" t="s">
        <v>444</v>
      </c>
      <c r="D53" s="4"/>
      <c r="E53" s="5">
        <v>3</v>
      </c>
      <c r="F53" s="6" t="s">
        <v>558</v>
      </c>
      <c r="G53" s="7">
        <v>0</v>
      </c>
    </row>
    <row r="54" spans="1:7" x14ac:dyDescent="0.25">
      <c r="A54" s="4" t="s">
        <v>629</v>
      </c>
      <c r="B54" s="4" t="s">
        <v>627</v>
      </c>
      <c r="C54" s="4" t="s">
        <v>357</v>
      </c>
      <c r="D54" s="4"/>
      <c r="E54" s="5">
        <v>3</v>
      </c>
      <c r="F54" s="6" t="s">
        <v>565</v>
      </c>
      <c r="G54" s="7">
        <v>0</v>
      </c>
    </row>
    <row r="55" spans="1:7" x14ac:dyDescent="0.25">
      <c r="A55" s="4" t="s">
        <v>630</v>
      </c>
      <c r="B55" s="4" t="s">
        <v>627</v>
      </c>
      <c r="C55" s="4" t="s">
        <v>475</v>
      </c>
      <c r="D55" s="4"/>
      <c r="E55" s="5">
        <v>1</v>
      </c>
      <c r="F55" s="6" t="s">
        <v>631</v>
      </c>
      <c r="G55" s="7">
        <v>0</v>
      </c>
    </row>
    <row r="56" spans="1:7" x14ac:dyDescent="0.25">
      <c r="A56" s="4" t="s">
        <v>632</v>
      </c>
      <c r="B56" s="4" t="s">
        <v>633</v>
      </c>
      <c r="C56" s="4" t="s">
        <v>459</v>
      </c>
      <c r="D56" s="4"/>
      <c r="E56" s="5">
        <v>2</v>
      </c>
      <c r="F56" s="6" t="s">
        <v>583</v>
      </c>
      <c r="G56" s="7">
        <v>0</v>
      </c>
    </row>
    <row r="57" spans="1:7" x14ac:dyDescent="0.25">
      <c r="A57" s="4" t="s">
        <v>634</v>
      </c>
      <c r="B57" s="4" t="s">
        <v>633</v>
      </c>
      <c r="C57" s="4" t="s">
        <v>466</v>
      </c>
      <c r="D57" s="4"/>
      <c r="E57" s="5">
        <v>1</v>
      </c>
      <c r="F57" s="6" t="s">
        <v>578</v>
      </c>
      <c r="G57" s="7">
        <v>0</v>
      </c>
    </row>
    <row r="58" spans="1:7" x14ac:dyDescent="0.25">
      <c r="A58" s="4" t="s">
        <v>635</v>
      </c>
      <c r="B58" s="4" t="s">
        <v>636</v>
      </c>
      <c r="C58" s="16"/>
      <c r="D58" s="4" t="s">
        <v>207</v>
      </c>
      <c r="E58" s="6"/>
      <c r="F58" s="7">
        <v>0</v>
      </c>
      <c r="G58" s="7">
        <v>62000000</v>
      </c>
    </row>
    <row r="59" spans="1:7" x14ac:dyDescent="0.25">
      <c r="A59" s="4" t="s">
        <v>637</v>
      </c>
      <c r="B59" s="4" t="s">
        <v>638</v>
      </c>
      <c r="C59" s="16"/>
      <c r="D59" s="4" t="s">
        <v>224</v>
      </c>
      <c r="E59" s="6"/>
      <c r="F59" s="7">
        <v>0</v>
      </c>
      <c r="G59" s="7">
        <v>2500000</v>
      </c>
    </row>
    <row r="60" spans="1:7" x14ac:dyDescent="0.25">
      <c r="A60" s="4" t="s">
        <v>639</v>
      </c>
      <c r="B60" s="4" t="s">
        <v>638</v>
      </c>
      <c r="C60" s="16"/>
      <c r="D60" s="4" t="s">
        <v>476</v>
      </c>
      <c r="E60" s="6"/>
      <c r="F60" s="7">
        <v>0</v>
      </c>
      <c r="G60" s="7">
        <v>4000000</v>
      </c>
    </row>
    <row r="61" spans="1:7" x14ac:dyDescent="0.25">
      <c r="A61" s="4" t="s">
        <v>640</v>
      </c>
      <c r="B61" s="4" t="s">
        <v>638</v>
      </c>
      <c r="C61" s="16"/>
      <c r="D61" s="4" t="s">
        <v>477</v>
      </c>
      <c r="E61" s="6"/>
      <c r="F61" s="7">
        <v>0</v>
      </c>
      <c r="G61" s="7">
        <v>3500000</v>
      </c>
    </row>
    <row r="62" spans="1:7" x14ac:dyDescent="0.25">
      <c r="A62" s="4" t="s">
        <v>641</v>
      </c>
      <c r="B62" s="4" t="s">
        <v>642</v>
      </c>
      <c r="C62" s="16"/>
      <c r="D62" s="4" t="s">
        <v>245</v>
      </c>
      <c r="E62" s="6"/>
      <c r="F62" s="7">
        <v>0</v>
      </c>
      <c r="G62" s="7">
        <v>4500000</v>
      </c>
    </row>
    <row r="63" spans="1:7" x14ac:dyDescent="0.25">
      <c r="A63" s="4" t="s">
        <v>643</v>
      </c>
      <c r="B63" s="4" t="s">
        <v>642</v>
      </c>
      <c r="C63" s="16"/>
      <c r="D63" s="4" t="s">
        <v>478</v>
      </c>
      <c r="E63" s="6"/>
      <c r="F63" s="7">
        <v>0</v>
      </c>
      <c r="G63" s="7">
        <v>1200000</v>
      </c>
    </row>
    <row r="64" spans="1:7" x14ac:dyDescent="0.25">
      <c r="A64" s="4" t="s">
        <v>644</v>
      </c>
      <c r="B64" s="4" t="s">
        <v>645</v>
      </c>
      <c r="C64" s="4" t="s">
        <v>479</v>
      </c>
      <c r="D64" s="4"/>
      <c r="E64" s="5">
        <v>1</v>
      </c>
      <c r="F64" s="6" t="s">
        <v>646</v>
      </c>
      <c r="G64" s="7">
        <v>3500</v>
      </c>
    </row>
    <row r="65" spans="1:7" x14ac:dyDescent="0.25">
      <c r="A65" s="4" t="s">
        <v>647</v>
      </c>
      <c r="B65" s="4" t="s">
        <v>645</v>
      </c>
      <c r="C65" s="4" t="s">
        <v>480</v>
      </c>
      <c r="D65" s="4"/>
      <c r="E65" s="5">
        <v>1</v>
      </c>
      <c r="F65" s="6" t="s">
        <v>646</v>
      </c>
      <c r="G65" s="7">
        <v>2200</v>
      </c>
    </row>
    <row r="66" spans="1:7" x14ac:dyDescent="0.25">
      <c r="A66" s="4" t="s">
        <v>648</v>
      </c>
      <c r="B66" s="4" t="s">
        <v>645</v>
      </c>
      <c r="C66" s="4" t="s">
        <v>481</v>
      </c>
      <c r="D66" s="4"/>
      <c r="E66" s="5">
        <v>1</v>
      </c>
      <c r="F66" s="6" t="s">
        <v>646</v>
      </c>
      <c r="G66" s="7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2"/>
  <sheetViews>
    <sheetView workbookViewId="0">
      <selection activeCell="A2" sqref="A2:K2"/>
    </sheetView>
  </sheetViews>
  <sheetFormatPr defaultRowHeight="14.5" x14ac:dyDescent="0.35"/>
  <cols>
    <col min="4" max="10" width="20" style="1" bestFit="1" customWidth="1"/>
  </cols>
  <sheetData>
    <row r="1" spans="1:15" x14ac:dyDescent="0.35">
      <c r="A1" t="s">
        <v>487</v>
      </c>
      <c r="B1" t="s">
        <v>488</v>
      </c>
      <c r="C1" t="s">
        <v>489</v>
      </c>
      <c r="D1" t="s">
        <v>490</v>
      </c>
      <c r="E1" t="s">
        <v>491</v>
      </c>
      <c r="F1" t="s">
        <v>492</v>
      </c>
      <c r="G1" t="s">
        <v>493</v>
      </c>
      <c r="H1" t="s">
        <v>494</v>
      </c>
      <c r="I1" t="s">
        <v>495</v>
      </c>
      <c r="J1" t="s">
        <v>496</v>
      </c>
      <c r="K1" t="s">
        <v>497</v>
      </c>
      <c r="L1" t="s">
        <v>498</v>
      </c>
      <c r="M1" t="s">
        <v>499</v>
      </c>
      <c r="N1" t="s">
        <v>500</v>
      </c>
      <c r="O1" t="s">
        <v>0</v>
      </c>
    </row>
    <row r="2" spans="1:15" x14ac:dyDescent="0.35">
      <c r="A2" t="s">
        <v>501</v>
      </c>
      <c r="B2" t="s">
        <v>502</v>
      </c>
      <c r="C2" t="s">
        <v>503</v>
      </c>
      <c r="D2" t="s">
        <v>504</v>
      </c>
      <c r="E2" t="s">
        <v>505</v>
      </c>
      <c r="F2" t="s">
        <v>506</v>
      </c>
      <c r="G2" t="s">
        <v>507</v>
      </c>
      <c r="H2" t="s">
        <v>508</v>
      </c>
      <c r="I2" t="s">
        <v>509</v>
      </c>
      <c r="J2" t="s">
        <v>510</v>
      </c>
      <c r="K2" t="s">
        <v>511</v>
      </c>
      <c r="L2" t="s">
        <v>512</v>
      </c>
      <c r="M2" t="s">
        <v>513</v>
      </c>
      <c r="N2" t="s">
        <v>514</v>
      </c>
      <c r="O2" t="s">
        <v>1</v>
      </c>
    </row>
    <row r="3" spans="1:15" x14ac:dyDescent="0.35">
      <c r="A3" t="s">
        <v>25</v>
      </c>
      <c r="B3" t="s">
        <v>2</v>
      </c>
      <c r="C3" t="s">
        <v>515</v>
      </c>
      <c r="D3" t="s">
        <v>3</v>
      </c>
      <c r="E3" t="s">
        <v>3</v>
      </c>
      <c r="F3" t="s">
        <v>516</v>
      </c>
      <c r="G3" t="s">
        <v>516</v>
      </c>
      <c r="H3" t="s">
        <v>517</v>
      </c>
      <c r="I3" t="s">
        <v>518</v>
      </c>
      <c r="J3" t="s">
        <v>26</v>
      </c>
      <c r="K3" t="s">
        <v>4</v>
      </c>
      <c r="L3" t="s">
        <v>519</v>
      </c>
      <c r="M3" t="s">
        <v>5</v>
      </c>
      <c r="N3" t="s">
        <v>5</v>
      </c>
      <c r="O3" t="s">
        <v>5</v>
      </c>
    </row>
    <row r="4" spans="1:15" x14ac:dyDescent="0.35">
      <c r="A4" t="s">
        <v>108</v>
      </c>
      <c r="B4" t="s">
        <v>6</v>
      </c>
      <c r="C4" t="s">
        <v>515</v>
      </c>
      <c r="D4" t="s">
        <v>3</v>
      </c>
      <c r="E4" t="s">
        <v>3</v>
      </c>
      <c r="F4" t="s">
        <v>516</v>
      </c>
      <c r="G4" t="s">
        <v>516</v>
      </c>
      <c r="H4" t="s">
        <v>520</v>
      </c>
      <c r="I4" t="s">
        <v>518</v>
      </c>
      <c r="J4" t="s">
        <v>109</v>
      </c>
      <c r="K4" t="s">
        <v>7</v>
      </c>
      <c r="L4" t="s">
        <v>519</v>
      </c>
      <c r="M4" t="s">
        <v>5</v>
      </c>
      <c r="N4" t="s">
        <v>5</v>
      </c>
      <c r="O4" t="s">
        <v>5</v>
      </c>
    </row>
    <row r="5" spans="1:15" x14ac:dyDescent="0.35">
      <c r="A5" t="s">
        <v>125</v>
      </c>
      <c r="B5" t="s">
        <v>6</v>
      </c>
      <c r="C5" t="s">
        <v>515</v>
      </c>
      <c r="D5" t="s">
        <v>3</v>
      </c>
      <c r="E5" t="s">
        <v>3</v>
      </c>
      <c r="F5" t="s">
        <v>516</v>
      </c>
      <c r="G5" t="s">
        <v>516</v>
      </c>
      <c r="H5" t="s">
        <v>521</v>
      </c>
      <c r="I5" t="s">
        <v>518</v>
      </c>
      <c r="J5" t="s">
        <v>126</v>
      </c>
      <c r="K5" t="s">
        <v>7</v>
      </c>
      <c r="L5" t="s">
        <v>519</v>
      </c>
      <c r="M5" t="s">
        <v>5</v>
      </c>
      <c r="N5" t="s">
        <v>5</v>
      </c>
      <c r="O5" t="s">
        <v>5</v>
      </c>
    </row>
    <row r="6" spans="1:15" x14ac:dyDescent="0.35">
      <c r="A6" t="s">
        <v>142</v>
      </c>
      <c r="B6" t="s">
        <v>6</v>
      </c>
      <c r="C6" t="s">
        <v>515</v>
      </c>
      <c r="D6" t="s">
        <v>3</v>
      </c>
      <c r="E6" t="s">
        <v>3</v>
      </c>
      <c r="F6" t="s">
        <v>516</v>
      </c>
      <c r="G6" t="s">
        <v>516</v>
      </c>
      <c r="H6" t="s">
        <v>522</v>
      </c>
      <c r="I6" t="s">
        <v>518</v>
      </c>
      <c r="J6" t="s">
        <v>143</v>
      </c>
      <c r="K6" t="s">
        <v>7</v>
      </c>
      <c r="L6" t="s">
        <v>519</v>
      </c>
      <c r="M6" t="s">
        <v>5</v>
      </c>
      <c r="N6" t="s">
        <v>5</v>
      </c>
      <c r="O6" t="s">
        <v>5</v>
      </c>
    </row>
    <row r="7" spans="1:15" x14ac:dyDescent="0.35">
      <c r="A7" t="s">
        <v>156</v>
      </c>
      <c r="B7" t="s">
        <v>6</v>
      </c>
      <c r="C7" t="s">
        <v>515</v>
      </c>
      <c r="D7" t="s">
        <v>3</v>
      </c>
      <c r="E7" t="s">
        <v>3</v>
      </c>
      <c r="F7" t="s">
        <v>516</v>
      </c>
      <c r="G7" t="s">
        <v>516</v>
      </c>
      <c r="H7" t="s">
        <v>523</v>
      </c>
      <c r="I7" t="s">
        <v>518</v>
      </c>
      <c r="J7" t="s">
        <v>157</v>
      </c>
      <c r="K7" t="s">
        <v>7</v>
      </c>
      <c r="L7" t="s">
        <v>519</v>
      </c>
      <c r="M7" t="s">
        <v>5</v>
      </c>
      <c r="N7" t="s">
        <v>5</v>
      </c>
      <c r="O7" t="s">
        <v>5</v>
      </c>
    </row>
    <row r="8" spans="1:15" x14ac:dyDescent="0.35">
      <c r="A8" t="s">
        <v>173</v>
      </c>
      <c r="B8" t="s">
        <v>6</v>
      </c>
      <c r="C8" t="s">
        <v>515</v>
      </c>
      <c r="D8" t="s">
        <v>3</v>
      </c>
      <c r="E8" t="s">
        <v>3</v>
      </c>
      <c r="F8" t="s">
        <v>516</v>
      </c>
      <c r="G8" t="s">
        <v>516</v>
      </c>
      <c r="H8" t="s">
        <v>524</v>
      </c>
      <c r="I8" t="s">
        <v>518</v>
      </c>
      <c r="J8" t="s">
        <v>174</v>
      </c>
      <c r="K8" t="s">
        <v>7</v>
      </c>
      <c r="L8" t="s">
        <v>519</v>
      </c>
      <c r="M8" t="s">
        <v>5</v>
      </c>
      <c r="N8" t="s">
        <v>5</v>
      </c>
      <c r="O8" t="s">
        <v>5</v>
      </c>
    </row>
    <row r="9" spans="1:15" x14ac:dyDescent="0.35">
      <c r="A9" t="s">
        <v>214</v>
      </c>
      <c r="B9" t="s">
        <v>8</v>
      </c>
      <c r="C9" t="s">
        <v>515</v>
      </c>
      <c r="D9" t="s">
        <v>3</v>
      </c>
      <c r="E9" t="s">
        <v>3</v>
      </c>
      <c r="F9" t="s">
        <v>516</v>
      </c>
      <c r="G9" t="s">
        <v>516</v>
      </c>
      <c r="H9" t="s">
        <v>525</v>
      </c>
      <c r="I9" t="s">
        <v>518</v>
      </c>
      <c r="J9" t="s">
        <v>215</v>
      </c>
      <c r="K9" t="s">
        <v>9</v>
      </c>
      <c r="L9" t="s">
        <v>519</v>
      </c>
      <c r="M9" t="s">
        <v>5</v>
      </c>
      <c r="N9" t="s">
        <v>5</v>
      </c>
      <c r="O9" t="s">
        <v>5</v>
      </c>
    </row>
    <row r="10" spans="1:15" x14ac:dyDescent="0.35">
      <c r="A10" t="s">
        <v>377</v>
      </c>
      <c r="B10" t="s">
        <v>10</v>
      </c>
      <c r="C10" t="s">
        <v>515</v>
      </c>
      <c r="D10" t="s">
        <v>11</v>
      </c>
      <c r="E10" t="s">
        <v>11</v>
      </c>
      <c r="F10" t="s">
        <v>516</v>
      </c>
      <c r="G10" t="s">
        <v>516</v>
      </c>
      <c r="H10" t="s">
        <v>526</v>
      </c>
      <c r="I10" t="s">
        <v>518</v>
      </c>
      <c r="J10" t="s">
        <v>378</v>
      </c>
      <c r="K10" t="s">
        <v>12</v>
      </c>
      <c r="L10" t="s">
        <v>519</v>
      </c>
      <c r="M10" t="s">
        <v>5</v>
      </c>
      <c r="N10" t="s">
        <v>5</v>
      </c>
      <c r="O10" t="s">
        <v>5</v>
      </c>
    </row>
    <row r="11" spans="1:15" x14ac:dyDescent="0.35">
      <c r="A11" t="s">
        <v>425</v>
      </c>
      <c r="B11" t="s">
        <v>13</v>
      </c>
      <c r="C11" t="s">
        <v>515</v>
      </c>
      <c r="D11" t="s">
        <v>11</v>
      </c>
      <c r="E11" t="s">
        <v>11</v>
      </c>
      <c r="F11" t="s">
        <v>516</v>
      </c>
      <c r="G11" t="s">
        <v>516</v>
      </c>
      <c r="H11" t="s">
        <v>527</v>
      </c>
      <c r="I11" t="s">
        <v>518</v>
      </c>
      <c r="J11" t="s">
        <v>426</v>
      </c>
      <c r="K11" t="s">
        <v>14</v>
      </c>
      <c r="L11" t="s">
        <v>519</v>
      </c>
      <c r="M11" t="s">
        <v>5</v>
      </c>
      <c r="N11" t="s">
        <v>5</v>
      </c>
      <c r="O11" t="s">
        <v>5</v>
      </c>
    </row>
    <row r="12" spans="1:15" x14ac:dyDescent="0.35">
      <c r="A12" t="s">
        <v>440</v>
      </c>
      <c r="B12" t="s">
        <v>15</v>
      </c>
      <c r="C12" t="s">
        <v>515</v>
      </c>
      <c r="D12" t="s">
        <v>11</v>
      </c>
      <c r="E12" t="s">
        <v>11</v>
      </c>
      <c r="F12" t="s">
        <v>516</v>
      </c>
      <c r="G12" t="s">
        <v>516</v>
      </c>
      <c r="H12" t="s">
        <v>528</v>
      </c>
      <c r="I12" t="s">
        <v>518</v>
      </c>
      <c r="J12" t="s">
        <v>441</v>
      </c>
      <c r="K12" t="s">
        <v>16</v>
      </c>
      <c r="L12" t="s">
        <v>519</v>
      </c>
      <c r="M12" t="s">
        <v>5</v>
      </c>
      <c r="N12" t="s">
        <v>5</v>
      </c>
      <c r="O12" t="s">
        <v>5</v>
      </c>
    </row>
    <row r="13" spans="1:15" x14ac:dyDescent="0.35">
      <c r="A13" t="s">
        <v>10</v>
      </c>
      <c r="B13" t="s">
        <v>15</v>
      </c>
      <c r="C13" t="s">
        <v>515</v>
      </c>
      <c r="D13" t="s">
        <v>11</v>
      </c>
      <c r="E13" t="s">
        <v>11</v>
      </c>
      <c r="F13" t="s">
        <v>516</v>
      </c>
      <c r="G13" t="s">
        <v>516</v>
      </c>
      <c r="H13" t="s">
        <v>518</v>
      </c>
      <c r="I13" t="s">
        <v>518</v>
      </c>
      <c r="J13" t="s">
        <v>12</v>
      </c>
      <c r="K13" t="s">
        <v>16</v>
      </c>
      <c r="L13" t="s">
        <v>519</v>
      </c>
      <c r="M13" t="s">
        <v>5</v>
      </c>
      <c r="N13" t="s">
        <v>5</v>
      </c>
      <c r="O13" t="s">
        <v>5</v>
      </c>
    </row>
    <row r="14" spans="1:15" x14ac:dyDescent="0.35">
      <c r="A14" t="s">
        <v>13</v>
      </c>
      <c r="B14" t="s">
        <v>15</v>
      </c>
      <c r="C14" t="s">
        <v>515</v>
      </c>
      <c r="D14" t="s">
        <v>11</v>
      </c>
      <c r="E14" t="s">
        <v>11</v>
      </c>
      <c r="F14" t="s">
        <v>516</v>
      </c>
      <c r="G14" t="s">
        <v>516</v>
      </c>
      <c r="H14" t="s">
        <v>518</v>
      </c>
      <c r="I14" t="s">
        <v>518</v>
      </c>
      <c r="J14" t="s">
        <v>14</v>
      </c>
      <c r="K14" t="s">
        <v>16</v>
      </c>
      <c r="L14" t="s">
        <v>519</v>
      </c>
      <c r="M14" t="s">
        <v>5</v>
      </c>
      <c r="N14" t="s">
        <v>5</v>
      </c>
      <c r="O14" t="s">
        <v>5</v>
      </c>
    </row>
    <row r="15" spans="1:15" x14ac:dyDescent="0.35">
      <c r="A15" t="s">
        <v>451</v>
      </c>
      <c r="B15" t="s">
        <v>17</v>
      </c>
      <c r="C15" t="s">
        <v>515</v>
      </c>
      <c r="D15" t="s">
        <v>11</v>
      </c>
      <c r="E15" t="s">
        <v>11</v>
      </c>
      <c r="F15" t="s">
        <v>516</v>
      </c>
      <c r="G15" t="s">
        <v>516</v>
      </c>
      <c r="H15" t="s">
        <v>529</v>
      </c>
      <c r="I15" t="s">
        <v>518</v>
      </c>
      <c r="J15" t="s">
        <v>452</v>
      </c>
      <c r="K15" t="s">
        <v>18</v>
      </c>
      <c r="L15" t="s">
        <v>519</v>
      </c>
      <c r="M15" t="s">
        <v>5</v>
      </c>
      <c r="N15" t="s">
        <v>5</v>
      </c>
      <c r="O15" t="s">
        <v>5</v>
      </c>
    </row>
    <row r="16" spans="1:15" x14ac:dyDescent="0.35">
      <c r="A16" t="s">
        <v>453</v>
      </c>
      <c r="B16" t="s">
        <v>19</v>
      </c>
      <c r="C16" t="s">
        <v>515</v>
      </c>
      <c r="D16" t="s">
        <v>11</v>
      </c>
      <c r="E16" t="s">
        <v>11</v>
      </c>
      <c r="F16" t="s">
        <v>516</v>
      </c>
      <c r="G16" t="s">
        <v>516</v>
      </c>
      <c r="H16" t="s">
        <v>529</v>
      </c>
      <c r="I16" t="s">
        <v>518</v>
      </c>
      <c r="J16" t="s">
        <v>454</v>
      </c>
      <c r="K16" t="s">
        <v>20</v>
      </c>
      <c r="L16" t="s">
        <v>519</v>
      </c>
      <c r="M16" t="s">
        <v>5</v>
      </c>
      <c r="N16" t="s">
        <v>5</v>
      </c>
      <c r="O16" t="s">
        <v>5</v>
      </c>
    </row>
    <row r="17" spans="1:15" x14ac:dyDescent="0.35">
      <c r="A17" t="s">
        <v>19</v>
      </c>
      <c r="B17" t="s">
        <v>21</v>
      </c>
      <c r="C17" t="s">
        <v>515</v>
      </c>
      <c r="D17" t="s">
        <v>11</v>
      </c>
      <c r="E17" t="s">
        <v>11</v>
      </c>
      <c r="F17" t="s">
        <v>516</v>
      </c>
      <c r="G17" t="s">
        <v>516</v>
      </c>
      <c r="H17" t="s">
        <v>518</v>
      </c>
      <c r="I17" t="s">
        <v>518</v>
      </c>
      <c r="J17" t="s">
        <v>20</v>
      </c>
      <c r="K17" t="s">
        <v>22</v>
      </c>
      <c r="L17" t="s">
        <v>519</v>
      </c>
      <c r="M17" t="s">
        <v>5</v>
      </c>
      <c r="N17" t="s">
        <v>5</v>
      </c>
      <c r="O17" t="s">
        <v>5</v>
      </c>
    </row>
    <row r="18" spans="1:15" x14ac:dyDescent="0.35">
      <c r="A18" t="s">
        <v>460</v>
      </c>
      <c r="B18" t="s">
        <v>21</v>
      </c>
      <c r="C18" t="s">
        <v>515</v>
      </c>
      <c r="D18" t="s">
        <v>11</v>
      </c>
      <c r="E18" t="s">
        <v>11</v>
      </c>
      <c r="F18" t="s">
        <v>516</v>
      </c>
      <c r="G18" t="s">
        <v>516</v>
      </c>
      <c r="H18" t="s">
        <v>530</v>
      </c>
      <c r="I18" t="s">
        <v>518</v>
      </c>
      <c r="J18" t="s">
        <v>461</v>
      </c>
      <c r="K18" t="s">
        <v>22</v>
      </c>
      <c r="L18" t="s">
        <v>519</v>
      </c>
      <c r="M18" t="s">
        <v>5</v>
      </c>
      <c r="N18" t="s">
        <v>5</v>
      </c>
      <c r="O18" t="s">
        <v>5</v>
      </c>
    </row>
    <row r="19" spans="1:15" x14ac:dyDescent="0.35">
      <c r="A19" t="s">
        <v>462</v>
      </c>
      <c r="B19" t="s">
        <v>21</v>
      </c>
      <c r="C19" t="s">
        <v>515</v>
      </c>
      <c r="D19" t="s">
        <v>11</v>
      </c>
      <c r="E19" t="s">
        <v>11</v>
      </c>
      <c r="F19" t="s">
        <v>516</v>
      </c>
      <c r="G19" t="s">
        <v>516</v>
      </c>
      <c r="H19" t="s">
        <v>530</v>
      </c>
      <c r="I19" t="s">
        <v>518</v>
      </c>
      <c r="J19" t="s">
        <v>463</v>
      </c>
      <c r="K19" t="s">
        <v>22</v>
      </c>
      <c r="L19" t="s">
        <v>519</v>
      </c>
      <c r="M19" t="s">
        <v>5</v>
      </c>
      <c r="N19" t="s">
        <v>5</v>
      </c>
      <c r="O19" t="s">
        <v>5</v>
      </c>
    </row>
    <row r="20" spans="1:15" x14ac:dyDescent="0.35">
      <c r="A20" t="s">
        <v>464</v>
      </c>
      <c r="B20" t="s">
        <v>21</v>
      </c>
      <c r="C20" t="s">
        <v>515</v>
      </c>
      <c r="D20" t="s">
        <v>11</v>
      </c>
      <c r="E20" t="s">
        <v>11</v>
      </c>
      <c r="F20" t="s">
        <v>516</v>
      </c>
      <c r="G20" t="s">
        <v>516</v>
      </c>
      <c r="H20" t="s">
        <v>530</v>
      </c>
      <c r="I20" t="s">
        <v>518</v>
      </c>
      <c r="J20" t="s">
        <v>465</v>
      </c>
      <c r="K20" t="s">
        <v>22</v>
      </c>
      <c r="L20" t="s">
        <v>519</v>
      </c>
      <c r="M20" t="s">
        <v>5</v>
      </c>
      <c r="N20" t="s">
        <v>5</v>
      </c>
      <c r="O20" t="s">
        <v>5</v>
      </c>
    </row>
    <row r="21" spans="1:15" x14ac:dyDescent="0.35">
      <c r="A21" t="s">
        <v>457</v>
      </c>
      <c r="B21" t="s">
        <v>23</v>
      </c>
      <c r="C21" t="s">
        <v>515</v>
      </c>
      <c r="D21" t="s">
        <v>11</v>
      </c>
      <c r="E21" t="s">
        <v>11</v>
      </c>
      <c r="F21" t="s">
        <v>516</v>
      </c>
      <c r="G21" t="s">
        <v>516</v>
      </c>
      <c r="H21" t="s">
        <v>530</v>
      </c>
      <c r="I21" t="s">
        <v>518</v>
      </c>
      <c r="J21" t="s">
        <v>458</v>
      </c>
      <c r="K21" t="s">
        <v>24</v>
      </c>
      <c r="L21" t="s">
        <v>519</v>
      </c>
      <c r="M21" t="s">
        <v>5</v>
      </c>
      <c r="N21" t="s">
        <v>5</v>
      </c>
      <c r="O21" t="s">
        <v>5</v>
      </c>
    </row>
    <row r="22" spans="1:15" x14ac:dyDescent="0.35">
      <c r="A22" t="s">
        <v>25</v>
      </c>
      <c r="B22" t="s">
        <v>27</v>
      </c>
      <c r="C22" t="s">
        <v>515</v>
      </c>
      <c r="D22" t="s">
        <v>3</v>
      </c>
      <c r="E22" t="s">
        <v>3</v>
      </c>
      <c r="F22" t="s">
        <v>516</v>
      </c>
      <c r="G22" t="s">
        <v>516</v>
      </c>
      <c r="H22" t="s">
        <v>517</v>
      </c>
      <c r="I22" t="s">
        <v>517</v>
      </c>
      <c r="J22" t="s">
        <v>26</v>
      </c>
      <c r="K22" t="s">
        <v>28</v>
      </c>
      <c r="L22" t="s">
        <v>519</v>
      </c>
      <c r="M22" t="s">
        <v>5</v>
      </c>
      <c r="N22" t="s">
        <v>5</v>
      </c>
      <c r="O22" t="s">
        <v>5</v>
      </c>
    </row>
    <row r="23" spans="1:15" x14ac:dyDescent="0.35">
      <c r="A23" t="s">
        <v>27</v>
      </c>
      <c r="B23" t="s">
        <v>30</v>
      </c>
      <c r="C23" t="s">
        <v>515</v>
      </c>
      <c r="D23" t="s">
        <v>3</v>
      </c>
      <c r="E23" t="s">
        <v>3</v>
      </c>
      <c r="F23" t="s">
        <v>516</v>
      </c>
      <c r="G23" t="s">
        <v>516</v>
      </c>
      <c r="H23" t="s">
        <v>517</v>
      </c>
      <c r="I23" t="s">
        <v>517</v>
      </c>
      <c r="J23" t="s">
        <v>28</v>
      </c>
      <c r="K23" t="s">
        <v>31</v>
      </c>
      <c r="L23" t="s">
        <v>519</v>
      </c>
      <c r="M23" t="s">
        <v>5</v>
      </c>
      <c r="N23" t="s">
        <v>5</v>
      </c>
      <c r="O23" t="s">
        <v>5</v>
      </c>
    </row>
    <row r="24" spans="1:15" x14ac:dyDescent="0.35">
      <c r="A24" t="s">
        <v>27</v>
      </c>
      <c r="B24" t="s">
        <v>33</v>
      </c>
      <c r="C24" t="s">
        <v>515</v>
      </c>
      <c r="D24" t="s">
        <v>3</v>
      </c>
      <c r="E24" t="s">
        <v>3</v>
      </c>
      <c r="F24" t="s">
        <v>516</v>
      </c>
      <c r="G24" t="s">
        <v>516</v>
      </c>
      <c r="H24" t="s">
        <v>517</v>
      </c>
      <c r="I24" t="s">
        <v>517</v>
      </c>
      <c r="J24" t="s">
        <v>28</v>
      </c>
      <c r="K24" t="s">
        <v>34</v>
      </c>
      <c r="L24" t="s">
        <v>519</v>
      </c>
      <c r="M24" t="s">
        <v>5</v>
      </c>
      <c r="N24" t="s">
        <v>5</v>
      </c>
      <c r="O24" t="s">
        <v>5</v>
      </c>
    </row>
    <row r="25" spans="1:15" x14ac:dyDescent="0.35">
      <c r="A25" t="s">
        <v>30</v>
      </c>
      <c r="B25" t="s">
        <v>36</v>
      </c>
      <c r="C25" t="s">
        <v>515</v>
      </c>
      <c r="D25" t="s">
        <v>3</v>
      </c>
      <c r="E25" t="s">
        <v>3</v>
      </c>
      <c r="F25" t="s">
        <v>516</v>
      </c>
      <c r="G25" t="s">
        <v>516</v>
      </c>
      <c r="H25" t="s">
        <v>517</v>
      </c>
      <c r="I25" t="s">
        <v>517</v>
      </c>
      <c r="J25" t="s">
        <v>31</v>
      </c>
      <c r="K25" t="s">
        <v>37</v>
      </c>
      <c r="L25" t="s">
        <v>519</v>
      </c>
      <c r="M25" t="s">
        <v>5</v>
      </c>
      <c r="N25" t="s">
        <v>5</v>
      </c>
      <c r="O25" t="s">
        <v>5</v>
      </c>
    </row>
    <row r="26" spans="1:15" x14ac:dyDescent="0.35">
      <c r="A26" t="s">
        <v>33</v>
      </c>
      <c r="B26" t="s">
        <v>36</v>
      </c>
      <c r="C26" t="s">
        <v>515</v>
      </c>
      <c r="D26" t="s">
        <v>3</v>
      </c>
      <c r="E26" t="s">
        <v>3</v>
      </c>
      <c r="F26" t="s">
        <v>516</v>
      </c>
      <c r="G26" t="s">
        <v>516</v>
      </c>
      <c r="H26" t="s">
        <v>517</v>
      </c>
      <c r="I26" t="s">
        <v>517</v>
      </c>
      <c r="J26" t="s">
        <v>34</v>
      </c>
      <c r="K26" t="s">
        <v>37</v>
      </c>
      <c r="L26" t="s">
        <v>519</v>
      </c>
      <c r="M26" t="s">
        <v>5</v>
      </c>
      <c r="N26" t="s">
        <v>5</v>
      </c>
      <c r="O26" t="s">
        <v>5</v>
      </c>
    </row>
    <row r="27" spans="1:15" x14ac:dyDescent="0.35">
      <c r="A27" t="s">
        <v>27</v>
      </c>
      <c r="B27" t="s">
        <v>39</v>
      </c>
      <c r="C27" t="s">
        <v>515</v>
      </c>
      <c r="D27" t="s">
        <v>3</v>
      </c>
      <c r="E27" t="s">
        <v>3</v>
      </c>
      <c r="F27" t="s">
        <v>516</v>
      </c>
      <c r="G27" t="s">
        <v>516</v>
      </c>
      <c r="H27" t="s">
        <v>517</v>
      </c>
      <c r="I27" t="s">
        <v>517</v>
      </c>
      <c r="J27" t="s">
        <v>28</v>
      </c>
      <c r="K27" t="s">
        <v>40</v>
      </c>
      <c r="L27" t="s">
        <v>519</v>
      </c>
      <c r="M27" t="s">
        <v>5</v>
      </c>
      <c r="N27" t="s">
        <v>5</v>
      </c>
      <c r="O27" t="s">
        <v>5</v>
      </c>
    </row>
    <row r="28" spans="1:15" x14ac:dyDescent="0.35">
      <c r="A28" t="s">
        <v>27</v>
      </c>
      <c r="B28" t="s">
        <v>41</v>
      </c>
      <c r="C28" t="s">
        <v>515</v>
      </c>
      <c r="D28" t="s">
        <v>3</v>
      </c>
      <c r="E28" t="s">
        <v>3</v>
      </c>
      <c r="F28" t="s">
        <v>516</v>
      </c>
      <c r="G28" t="s">
        <v>516</v>
      </c>
      <c r="H28" t="s">
        <v>517</v>
      </c>
      <c r="I28" t="s">
        <v>517</v>
      </c>
      <c r="J28" t="s">
        <v>28</v>
      </c>
      <c r="K28" t="s">
        <v>42</v>
      </c>
      <c r="L28" t="s">
        <v>519</v>
      </c>
      <c r="M28" t="s">
        <v>5</v>
      </c>
      <c r="N28" t="s">
        <v>5</v>
      </c>
      <c r="O28" t="s">
        <v>5</v>
      </c>
    </row>
    <row r="29" spans="1:15" x14ac:dyDescent="0.35">
      <c r="A29" t="s">
        <v>27</v>
      </c>
      <c r="B29" t="s">
        <v>43</v>
      </c>
      <c r="C29" t="s">
        <v>515</v>
      </c>
      <c r="D29" t="s">
        <v>3</v>
      </c>
      <c r="E29" t="s">
        <v>3</v>
      </c>
      <c r="F29" t="s">
        <v>516</v>
      </c>
      <c r="G29" t="s">
        <v>516</v>
      </c>
      <c r="H29" t="s">
        <v>517</v>
      </c>
      <c r="I29" t="s">
        <v>517</v>
      </c>
      <c r="J29" t="s">
        <v>28</v>
      </c>
      <c r="K29" t="s">
        <v>44</v>
      </c>
      <c r="L29" t="s">
        <v>519</v>
      </c>
      <c r="M29" t="s">
        <v>5</v>
      </c>
      <c r="N29" t="s">
        <v>5</v>
      </c>
      <c r="O29" t="s">
        <v>5</v>
      </c>
    </row>
    <row r="30" spans="1:15" x14ac:dyDescent="0.35">
      <c r="A30" t="s">
        <v>25</v>
      </c>
      <c r="B30" t="s">
        <v>45</v>
      </c>
      <c r="C30" t="s">
        <v>515</v>
      </c>
      <c r="D30" t="s">
        <v>3</v>
      </c>
      <c r="E30" t="s">
        <v>3</v>
      </c>
      <c r="F30" t="s">
        <v>516</v>
      </c>
      <c r="G30" t="s">
        <v>516</v>
      </c>
      <c r="H30" t="s">
        <v>517</v>
      </c>
      <c r="I30" t="s">
        <v>531</v>
      </c>
      <c r="J30" t="s">
        <v>26</v>
      </c>
      <c r="K30" t="s">
        <v>46</v>
      </c>
      <c r="L30" t="s">
        <v>519</v>
      </c>
      <c r="M30" t="s">
        <v>5</v>
      </c>
      <c r="N30" t="s">
        <v>5</v>
      </c>
      <c r="O30" t="s">
        <v>5</v>
      </c>
    </row>
    <row r="31" spans="1:15" x14ac:dyDescent="0.35">
      <c r="A31" t="s">
        <v>45</v>
      </c>
      <c r="B31" t="s">
        <v>48</v>
      </c>
      <c r="C31" t="s">
        <v>515</v>
      </c>
      <c r="D31" t="s">
        <v>3</v>
      </c>
      <c r="E31" t="s">
        <v>3</v>
      </c>
      <c r="F31" t="s">
        <v>516</v>
      </c>
      <c r="G31" t="s">
        <v>516</v>
      </c>
      <c r="H31" t="s">
        <v>531</v>
      </c>
      <c r="I31" t="s">
        <v>531</v>
      </c>
      <c r="J31" t="s">
        <v>46</v>
      </c>
      <c r="K31" t="s">
        <v>49</v>
      </c>
      <c r="L31" t="s">
        <v>519</v>
      </c>
      <c r="M31" t="s">
        <v>5</v>
      </c>
      <c r="N31" t="s">
        <v>5</v>
      </c>
      <c r="O31" t="s">
        <v>5</v>
      </c>
    </row>
    <row r="32" spans="1:15" x14ac:dyDescent="0.35">
      <c r="A32" t="s">
        <v>48</v>
      </c>
      <c r="B32" t="s">
        <v>51</v>
      </c>
      <c r="C32" t="s">
        <v>515</v>
      </c>
      <c r="D32" t="s">
        <v>3</v>
      </c>
      <c r="E32" t="s">
        <v>3</v>
      </c>
      <c r="F32" t="s">
        <v>516</v>
      </c>
      <c r="G32" t="s">
        <v>516</v>
      </c>
      <c r="H32" t="s">
        <v>531</v>
      </c>
      <c r="I32" t="s">
        <v>531</v>
      </c>
      <c r="J32" t="s">
        <v>49</v>
      </c>
      <c r="K32" t="s">
        <v>52</v>
      </c>
      <c r="L32" t="s">
        <v>519</v>
      </c>
      <c r="M32" t="s">
        <v>5</v>
      </c>
      <c r="N32" t="s">
        <v>5</v>
      </c>
      <c r="O32" t="s">
        <v>5</v>
      </c>
    </row>
    <row r="33" spans="1:15" x14ac:dyDescent="0.35">
      <c r="A33" t="s">
        <v>45</v>
      </c>
      <c r="B33" t="s">
        <v>53</v>
      </c>
      <c r="C33" t="s">
        <v>515</v>
      </c>
      <c r="D33" t="s">
        <v>3</v>
      </c>
      <c r="E33" t="s">
        <v>3</v>
      </c>
      <c r="F33" t="s">
        <v>516</v>
      </c>
      <c r="G33" t="s">
        <v>516</v>
      </c>
      <c r="H33" t="s">
        <v>531</v>
      </c>
      <c r="I33" t="s">
        <v>531</v>
      </c>
      <c r="J33" t="s">
        <v>46</v>
      </c>
      <c r="K33" t="s">
        <v>54</v>
      </c>
      <c r="L33" t="s">
        <v>519</v>
      </c>
      <c r="M33" t="s">
        <v>5</v>
      </c>
      <c r="N33" t="s">
        <v>5</v>
      </c>
      <c r="O33" t="s">
        <v>5</v>
      </c>
    </row>
    <row r="34" spans="1:15" x14ac:dyDescent="0.35">
      <c r="A34" t="s">
        <v>94</v>
      </c>
      <c r="B34" t="s">
        <v>56</v>
      </c>
      <c r="C34" t="s">
        <v>515</v>
      </c>
      <c r="D34" t="s">
        <v>3</v>
      </c>
      <c r="E34" t="s">
        <v>3</v>
      </c>
      <c r="F34" t="s">
        <v>516</v>
      </c>
      <c r="G34" t="s">
        <v>516</v>
      </c>
      <c r="H34" t="s">
        <v>520</v>
      </c>
      <c r="I34" t="s">
        <v>531</v>
      </c>
      <c r="J34" t="s">
        <v>95</v>
      </c>
      <c r="K34" t="s">
        <v>57</v>
      </c>
      <c r="L34" t="s">
        <v>519</v>
      </c>
      <c r="M34" t="s">
        <v>5</v>
      </c>
      <c r="N34" t="s">
        <v>5</v>
      </c>
      <c r="O34" t="s">
        <v>5</v>
      </c>
    </row>
    <row r="35" spans="1:15" x14ac:dyDescent="0.35">
      <c r="A35" t="s">
        <v>115</v>
      </c>
      <c r="B35" t="s">
        <v>56</v>
      </c>
      <c r="C35" t="s">
        <v>515</v>
      </c>
      <c r="D35" t="s">
        <v>3</v>
      </c>
      <c r="E35" t="s">
        <v>3</v>
      </c>
      <c r="F35" t="s">
        <v>516</v>
      </c>
      <c r="G35" t="s">
        <v>516</v>
      </c>
      <c r="H35" t="s">
        <v>521</v>
      </c>
      <c r="I35" t="s">
        <v>531</v>
      </c>
      <c r="J35" t="s">
        <v>116</v>
      </c>
      <c r="K35" t="s">
        <v>57</v>
      </c>
      <c r="L35" t="s">
        <v>519</v>
      </c>
      <c r="M35" t="s">
        <v>5</v>
      </c>
      <c r="N35" t="s">
        <v>5</v>
      </c>
      <c r="O35" t="s">
        <v>5</v>
      </c>
    </row>
    <row r="36" spans="1:15" x14ac:dyDescent="0.35">
      <c r="A36" t="s">
        <v>127</v>
      </c>
      <c r="B36" t="s">
        <v>56</v>
      </c>
      <c r="C36" t="s">
        <v>515</v>
      </c>
      <c r="D36" t="s">
        <v>3</v>
      </c>
      <c r="E36" t="s">
        <v>3</v>
      </c>
      <c r="F36" t="s">
        <v>516</v>
      </c>
      <c r="G36" t="s">
        <v>516</v>
      </c>
      <c r="H36" t="s">
        <v>522</v>
      </c>
      <c r="I36" t="s">
        <v>531</v>
      </c>
      <c r="J36" t="s">
        <v>128</v>
      </c>
      <c r="K36" t="s">
        <v>57</v>
      </c>
      <c r="L36" t="s">
        <v>519</v>
      </c>
      <c r="M36" t="s">
        <v>5</v>
      </c>
      <c r="N36" t="s">
        <v>5</v>
      </c>
      <c r="O36" t="s">
        <v>5</v>
      </c>
    </row>
    <row r="37" spans="1:15" x14ac:dyDescent="0.35">
      <c r="A37" t="s">
        <v>144</v>
      </c>
      <c r="B37" t="s">
        <v>56</v>
      </c>
      <c r="C37" t="s">
        <v>515</v>
      </c>
      <c r="D37" t="s">
        <v>3</v>
      </c>
      <c r="E37" t="s">
        <v>3</v>
      </c>
      <c r="F37" t="s">
        <v>516</v>
      </c>
      <c r="G37" t="s">
        <v>516</v>
      </c>
      <c r="H37" t="s">
        <v>523</v>
      </c>
      <c r="I37" t="s">
        <v>531</v>
      </c>
      <c r="J37" t="s">
        <v>145</v>
      </c>
      <c r="K37" t="s">
        <v>57</v>
      </c>
      <c r="L37" t="s">
        <v>519</v>
      </c>
      <c r="M37" t="s">
        <v>5</v>
      </c>
      <c r="N37" t="s">
        <v>5</v>
      </c>
      <c r="O37" t="s">
        <v>5</v>
      </c>
    </row>
    <row r="38" spans="1:15" x14ac:dyDescent="0.35">
      <c r="A38" t="s">
        <v>66</v>
      </c>
      <c r="B38" t="s">
        <v>56</v>
      </c>
      <c r="C38" t="s">
        <v>515</v>
      </c>
      <c r="D38" t="s">
        <v>3</v>
      </c>
      <c r="E38" t="s">
        <v>3</v>
      </c>
      <c r="F38" t="s">
        <v>516</v>
      </c>
      <c r="G38" t="s">
        <v>516</v>
      </c>
      <c r="H38" t="s">
        <v>532</v>
      </c>
      <c r="I38" t="s">
        <v>531</v>
      </c>
      <c r="J38" t="s">
        <v>67</v>
      </c>
      <c r="K38" t="s">
        <v>57</v>
      </c>
      <c r="L38" t="s">
        <v>519</v>
      </c>
      <c r="M38" t="s">
        <v>5</v>
      </c>
      <c r="N38" t="s">
        <v>5</v>
      </c>
      <c r="O38" t="s">
        <v>5</v>
      </c>
    </row>
    <row r="39" spans="1:15" x14ac:dyDescent="0.35">
      <c r="A39" t="s">
        <v>100</v>
      </c>
      <c r="B39" t="s">
        <v>58</v>
      </c>
      <c r="C39" t="s">
        <v>515</v>
      </c>
      <c r="D39" t="s">
        <v>3</v>
      </c>
      <c r="E39" t="s">
        <v>3</v>
      </c>
      <c r="F39" t="s">
        <v>516</v>
      </c>
      <c r="G39" t="s">
        <v>516</v>
      </c>
      <c r="H39" t="s">
        <v>520</v>
      </c>
      <c r="I39" t="s">
        <v>531</v>
      </c>
      <c r="J39" t="s">
        <v>101</v>
      </c>
      <c r="K39" t="s">
        <v>59</v>
      </c>
      <c r="L39" t="s">
        <v>519</v>
      </c>
      <c r="M39" t="s">
        <v>5</v>
      </c>
      <c r="N39" t="s">
        <v>5</v>
      </c>
      <c r="O39" t="s">
        <v>5</v>
      </c>
    </row>
    <row r="40" spans="1:15" x14ac:dyDescent="0.35">
      <c r="A40" t="s">
        <v>119</v>
      </c>
      <c r="B40" t="s">
        <v>58</v>
      </c>
      <c r="C40" t="s">
        <v>515</v>
      </c>
      <c r="D40" t="s">
        <v>3</v>
      </c>
      <c r="E40" t="s">
        <v>3</v>
      </c>
      <c r="F40" t="s">
        <v>516</v>
      </c>
      <c r="G40" t="s">
        <v>516</v>
      </c>
      <c r="H40" t="s">
        <v>521</v>
      </c>
      <c r="I40" t="s">
        <v>531</v>
      </c>
      <c r="J40" t="s">
        <v>120</v>
      </c>
      <c r="K40" t="s">
        <v>59</v>
      </c>
      <c r="L40" t="s">
        <v>519</v>
      </c>
      <c r="M40" t="s">
        <v>5</v>
      </c>
      <c r="N40" t="s">
        <v>5</v>
      </c>
      <c r="O40" t="s">
        <v>5</v>
      </c>
    </row>
    <row r="41" spans="1:15" x14ac:dyDescent="0.35">
      <c r="A41" t="s">
        <v>140</v>
      </c>
      <c r="B41" t="s">
        <v>58</v>
      </c>
      <c r="C41" t="s">
        <v>515</v>
      </c>
      <c r="D41" t="s">
        <v>3</v>
      </c>
      <c r="E41" t="s">
        <v>3</v>
      </c>
      <c r="F41" t="s">
        <v>516</v>
      </c>
      <c r="G41" t="s">
        <v>516</v>
      </c>
      <c r="H41" t="s">
        <v>522</v>
      </c>
      <c r="I41" t="s">
        <v>531</v>
      </c>
      <c r="J41" t="s">
        <v>141</v>
      </c>
      <c r="K41" t="s">
        <v>59</v>
      </c>
      <c r="L41" t="s">
        <v>519</v>
      </c>
      <c r="M41" t="s">
        <v>5</v>
      </c>
      <c r="N41" t="s">
        <v>5</v>
      </c>
      <c r="O41" t="s">
        <v>5</v>
      </c>
    </row>
    <row r="42" spans="1:15" x14ac:dyDescent="0.35">
      <c r="A42" t="s">
        <v>169</v>
      </c>
      <c r="B42" t="s">
        <v>58</v>
      </c>
      <c r="C42" t="s">
        <v>515</v>
      </c>
      <c r="D42" t="s">
        <v>3</v>
      </c>
      <c r="E42" t="s">
        <v>3</v>
      </c>
      <c r="F42" t="s">
        <v>516</v>
      </c>
      <c r="G42" t="s">
        <v>516</v>
      </c>
      <c r="H42" t="s">
        <v>524</v>
      </c>
      <c r="I42" t="s">
        <v>531</v>
      </c>
      <c r="J42" t="s">
        <v>170</v>
      </c>
      <c r="K42" t="s">
        <v>59</v>
      </c>
      <c r="L42" t="s">
        <v>519</v>
      </c>
      <c r="M42" t="s">
        <v>5</v>
      </c>
      <c r="N42" t="s">
        <v>5</v>
      </c>
      <c r="O42" t="s">
        <v>5</v>
      </c>
    </row>
    <row r="43" spans="1:15" x14ac:dyDescent="0.35">
      <c r="A43" t="s">
        <v>102</v>
      </c>
      <c r="B43" t="s">
        <v>60</v>
      </c>
      <c r="C43" t="s">
        <v>515</v>
      </c>
      <c r="D43" t="s">
        <v>3</v>
      </c>
      <c r="E43" t="s">
        <v>3</v>
      </c>
      <c r="F43" t="s">
        <v>516</v>
      </c>
      <c r="G43" t="s">
        <v>516</v>
      </c>
      <c r="H43" t="s">
        <v>520</v>
      </c>
      <c r="I43" t="s">
        <v>531</v>
      </c>
      <c r="J43" t="s">
        <v>103</v>
      </c>
      <c r="K43" t="s">
        <v>61</v>
      </c>
      <c r="L43" t="s">
        <v>519</v>
      </c>
      <c r="M43" t="s">
        <v>5</v>
      </c>
      <c r="N43" t="s">
        <v>5</v>
      </c>
      <c r="O43" t="s">
        <v>5</v>
      </c>
    </row>
    <row r="44" spans="1:15" x14ac:dyDescent="0.35">
      <c r="A44" t="s">
        <v>104</v>
      </c>
      <c r="B44" t="s">
        <v>60</v>
      </c>
      <c r="C44" t="s">
        <v>515</v>
      </c>
      <c r="D44" t="s">
        <v>3</v>
      </c>
      <c r="E44" t="s">
        <v>3</v>
      </c>
      <c r="F44" t="s">
        <v>516</v>
      </c>
      <c r="G44" t="s">
        <v>516</v>
      </c>
      <c r="H44" t="s">
        <v>520</v>
      </c>
      <c r="I44" t="s">
        <v>531</v>
      </c>
      <c r="J44" t="s">
        <v>105</v>
      </c>
      <c r="K44" t="s">
        <v>61</v>
      </c>
      <c r="L44" t="s">
        <v>519</v>
      </c>
      <c r="M44" t="s">
        <v>5</v>
      </c>
      <c r="N44" t="s">
        <v>5</v>
      </c>
      <c r="O44" t="s">
        <v>5</v>
      </c>
    </row>
    <row r="45" spans="1:15" x14ac:dyDescent="0.35">
      <c r="A45" t="s">
        <v>148</v>
      </c>
      <c r="B45" t="s">
        <v>60</v>
      </c>
      <c r="C45" t="s">
        <v>515</v>
      </c>
      <c r="D45" t="s">
        <v>3</v>
      </c>
      <c r="E45" t="s">
        <v>3</v>
      </c>
      <c r="F45" t="s">
        <v>516</v>
      </c>
      <c r="G45" t="s">
        <v>516</v>
      </c>
      <c r="H45" t="s">
        <v>523</v>
      </c>
      <c r="I45" t="s">
        <v>531</v>
      </c>
      <c r="J45" t="s">
        <v>149</v>
      </c>
      <c r="K45" t="s">
        <v>61</v>
      </c>
      <c r="L45" t="s">
        <v>519</v>
      </c>
      <c r="M45" t="s">
        <v>5</v>
      </c>
      <c r="N45" t="s">
        <v>5</v>
      </c>
      <c r="O45" t="s">
        <v>5</v>
      </c>
    </row>
    <row r="46" spans="1:15" x14ac:dyDescent="0.35">
      <c r="A46" t="s">
        <v>169</v>
      </c>
      <c r="B46" t="s">
        <v>60</v>
      </c>
      <c r="C46" t="s">
        <v>515</v>
      </c>
      <c r="D46" t="s">
        <v>3</v>
      </c>
      <c r="E46" t="s">
        <v>3</v>
      </c>
      <c r="F46" t="s">
        <v>516</v>
      </c>
      <c r="G46" t="s">
        <v>516</v>
      </c>
      <c r="H46" t="s">
        <v>524</v>
      </c>
      <c r="I46" t="s">
        <v>531</v>
      </c>
      <c r="J46" t="s">
        <v>170</v>
      </c>
      <c r="K46" t="s">
        <v>61</v>
      </c>
      <c r="L46" t="s">
        <v>519</v>
      </c>
      <c r="M46" t="s">
        <v>5</v>
      </c>
      <c r="N46" t="s">
        <v>5</v>
      </c>
      <c r="O46" t="s">
        <v>5</v>
      </c>
    </row>
    <row r="47" spans="1:15" x14ac:dyDescent="0.35">
      <c r="A47" t="s">
        <v>48</v>
      </c>
      <c r="B47" t="s">
        <v>62</v>
      </c>
      <c r="C47" t="s">
        <v>515</v>
      </c>
      <c r="D47" t="s">
        <v>3</v>
      </c>
      <c r="E47" t="s">
        <v>3</v>
      </c>
      <c r="F47" t="s">
        <v>516</v>
      </c>
      <c r="G47" t="s">
        <v>516</v>
      </c>
      <c r="H47" t="s">
        <v>531</v>
      </c>
      <c r="I47" t="s">
        <v>532</v>
      </c>
      <c r="J47" t="s">
        <v>49</v>
      </c>
      <c r="K47" t="s">
        <v>63</v>
      </c>
      <c r="L47" t="s">
        <v>519</v>
      </c>
      <c r="M47" t="s">
        <v>5</v>
      </c>
      <c r="N47" t="s">
        <v>5</v>
      </c>
      <c r="O47" t="s">
        <v>5</v>
      </c>
    </row>
    <row r="48" spans="1:15" x14ac:dyDescent="0.35">
      <c r="A48" t="s">
        <v>62</v>
      </c>
      <c r="B48" t="s">
        <v>64</v>
      </c>
      <c r="C48" t="s">
        <v>515</v>
      </c>
      <c r="D48" t="s">
        <v>3</v>
      </c>
      <c r="E48" t="s">
        <v>3</v>
      </c>
      <c r="F48" t="s">
        <v>516</v>
      </c>
      <c r="G48" t="s">
        <v>516</v>
      </c>
      <c r="H48" t="s">
        <v>532</v>
      </c>
      <c r="I48" t="s">
        <v>532</v>
      </c>
      <c r="J48" t="s">
        <v>63</v>
      </c>
      <c r="K48" t="s">
        <v>65</v>
      </c>
      <c r="L48" t="s">
        <v>519</v>
      </c>
      <c r="M48" t="s">
        <v>5</v>
      </c>
      <c r="N48" t="s">
        <v>5</v>
      </c>
      <c r="O48" t="s">
        <v>5</v>
      </c>
    </row>
    <row r="49" spans="1:15" x14ac:dyDescent="0.35">
      <c r="A49" t="s">
        <v>64</v>
      </c>
      <c r="B49" t="s">
        <v>66</v>
      </c>
      <c r="C49" t="s">
        <v>515</v>
      </c>
      <c r="D49" t="s">
        <v>3</v>
      </c>
      <c r="E49" t="s">
        <v>3</v>
      </c>
      <c r="F49" t="s">
        <v>516</v>
      </c>
      <c r="G49" t="s">
        <v>516</v>
      </c>
      <c r="H49" t="s">
        <v>532</v>
      </c>
      <c r="I49" t="s">
        <v>532</v>
      </c>
      <c r="J49" t="s">
        <v>65</v>
      </c>
      <c r="K49" t="s">
        <v>67</v>
      </c>
      <c r="L49" t="s">
        <v>519</v>
      </c>
      <c r="M49" t="s">
        <v>5</v>
      </c>
      <c r="N49" t="s">
        <v>5</v>
      </c>
      <c r="O49" t="s">
        <v>5</v>
      </c>
    </row>
    <row r="50" spans="1:15" x14ac:dyDescent="0.35">
      <c r="A50" t="s">
        <v>66</v>
      </c>
      <c r="B50" t="s">
        <v>68</v>
      </c>
      <c r="C50" t="s">
        <v>515</v>
      </c>
      <c r="D50" t="s">
        <v>3</v>
      </c>
      <c r="E50" t="s">
        <v>3</v>
      </c>
      <c r="F50" t="s">
        <v>516</v>
      </c>
      <c r="G50" t="s">
        <v>516</v>
      </c>
      <c r="H50" t="s">
        <v>532</v>
      </c>
      <c r="I50" t="s">
        <v>532</v>
      </c>
      <c r="J50" t="s">
        <v>67</v>
      </c>
      <c r="K50" t="s">
        <v>69</v>
      </c>
      <c r="L50" t="s">
        <v>519</v>
      </c>
      <c r="M50" t="s">
        <v>5</v>
      </c>
      <c r="N50" t="s">
        <v>5</v>
      </c>
      <c r="O50" t="s">
        <v>5</v>
      </c>
    </row>
    <row r="51" spans="1:15" x14ac:dyDescent="0.35">
      <c r="A51" t="s">
        <v>66</v>
      </c>
      <c r="B51" t="s">
        <v>71</v>
      </c>
      <c r="C51" t="s">
        <v>515</v>
      </c>
      <c r="D51" t="s">
        <v>3</v>
      </c>
      <c r="E51" t="s">
        <v>3</v>
      </c>
      <c r="F51" t="s">
        <v>516</v>
      </c>
      <c r="G51" t="s">
        <v>516</v>
      </c>
      <c r="H51" t="s">
        <v>532</v>
      </c>
      <c r="I51" t="s">
        <v>532</v>
      </c>
      <c r="J51" t="s">
        <v>67</v>
      </c>
      <c r="K51" t="s">
        <v>72</v>
      </c>
      <c r="L51" t="s">
        <v>519</v>
      </c>
      <c r="M51" t="s">
        <v>5</v>
      </c>
      <c r="N51" t="s">
        <v>5</v>
      </c>
      <c r="O51" t="s">
        <v>5</v>
      </c>
    </row>
    <row r="52" spans="1:15" x14ac:dyDescent="0.35">
      <c r="A52" t="s">
        <v>68</v>
      </c>
      <c r="B52" t="s">
        <v>73</v>
      </c>
      <c r="C52" t="s">
        <v>515</v>
      </c>
      <c r="D52" t="s">
        <v>3</v>
      </c>
      <c r="E52" t="s">
        <v>3</v>
      </c>
      <c r="F52" t="s">
        <v>516</v>
      </c>
      <c r="G52" t="s">
        <v>516</v>
      </c>
      <c r="H52" t="s">
        <v>532</v>
      </c>
      <c r="I52" t="s">
        <v>532</v>
      </c>
      <c r="J52" t="s">
        <v>69</v>
      </c>
      <c r="K52" t="s">
        <v>74</v>
      </c>
      <c r="L52" t="s">
        <v>519</v>
      </c>
      <c r="M52" t="s">
        <v>5</v>
      </c>
      <c r="N52" t="s">
        <v>5</v>
      </c>
      <c r="O52" t="s">
        <v>5</v>
      </c>
    </row>
    <row r="53" spans="1:15" x14ac:dyDescent="0.35">
      <c r="A53" t="s">
        <v>66</v>
      </c>
      <c r="B53" t="s">
        <v>75</v>
      </c>
      <c r="C53" t="s">
        <v>515</v>
      </c>
      <c r="D53" t="s">
        <v>3</v>
      </c>
      <c r="E53" t="s">
        <v>3</v>
      </c>
      <c r="F53" t="s">
        <v>516</v>
      </c>
      <c r="G53" t="s">
        <v>516</v>
      </c>
      <c r="H53" t="s">
        <v>532</v>
      </c>
      <c r="I53" t="s">
        <v>532</v>
      </c>
      <c r="J53" t="s">
        <v>67</v>
      </c>
      <c r="K53" t="s">
        <v>76</v>
      </c>
      <c r="L53" t="s">
        <v>519</v>
      </c>
      <c r="M53" t="s">
        <v>5</v>
      </c>
      <c r="N53" t="s">
        <v>5</v>
      </c>
      <c r="O53" t="s">
        <v>5</v>
      </c>
    </row>
    <row r="54" spans="1:15" x14ac:dyDescent="0.35">
      <c r="A54" t="s">
        <v>75</v>
      </c>
      <c r="B54" t="s">
        <v>77</v>
      </c>
      <c r="C54" t="s">
        <v>515</v>
      </c>
      <c r="D54" t="s">
        <v>3</v>
      </c>
      <c r="E54" t="s">
        <v>3</v>
      </c>
      <c r="F54" t="s">
        <v>516</v>
      </c>
      <c r="G54" t="s">
        <v>516</v>
      </c>
      <c r="H54" t="s">
        <v>532</v>
      </c>
      <c r="I54" t="s">
        <v>532</v>
      </c>
      <c r="J54" t="s">
        <v>76</v>
      </c>
      <c r="K54" t="s">
        <v>78</v>
      </c>
      <c r="L54" t="s">
        <v>519</v>
      </c>
      <c r="M54" t="s">
        <v>5</v>
      </c>
      <c r="N54" t="s">
        <v>5</v>
      </c>
      <c r="O54" t="s">
        <v>5</v>
      </c>
    </row>
    <row r="55" spans="1:15" x14ac:dyDescent="0.35">
      <c r="A55" t="s">
        <v>77</v>
      </c>
      <c r="B55" t="s">
        <v>79</v>
      </c>
      <c r="C55" t="s">
        <v>515</v>
      </c>
      <c r="D55" t="s">
        <v>3</v>
      </c>
      <c r="E55" t="s">
        <v>3</v>
      </c>
      <c r="F55" t="s">
        <v>516</v>
      </c>
      <c r="G55" t="s">
        <v>516</v>
      </c>
      <c r="H55" t="s">
        <v>532</v>
      </c>
      <c r="I55" t="s">
        <v>532</v>
      </c>
      <c r="J55" t="s">
        <v>78</v>
      </c>
      <c r="K55" t="s">
        <v>80</v>
      </c>
      <c r="L55" t="s">
        <v>519</v>
      </c>
      <c r="M55" t="s">
        <v>5</v>
      </c>
      <c r="N55" t="s">
        <v>5</v>
      </c>
      <c r="O55" t="s">
        <v>5</v>
      </c>
    </row>
    <row r="56" spans="1:15" x14ac:dyDescent="0.35">
      <c r="A56" t="s">
        <v>66</v>
      </c>
      <c r="B56" t="s">
        <v>81</v>
      </c>
      <c r="C56" t="s">
        <v>515</v>
      </c>
      <c r="D56" t="s">
        <v>3</v>
      </c>
      <c r="E56" t="s">
        <v>3</v>
      </c>
      <c r="F56" t="s">
        <v>516</v>
      </c>
      <c r="G56" t="s">
        <v>516</v>
      </c>
      <c r="H56" t="s">
        <v>532</v>
      </c>
      <c r="I56" t="s">
        <v>520</v>
      </c>
      <c r="J56" t="s">
        <v>67</v>
      </c>
      <c r="K56" t="s">
        <v>82</v>
      </c>
      <c r="L56" t="s">
        <v>519</v>
      </c>
      <c r="M56" t="s">
        <v>5</v>
      </c>
      <c r="N56" t="s">
        <v>5</v>
      </c>
      <c r="O56" t="s">
        <v>5</v>
      </c>
    </row>
    <row r="57" spans="1:15" x14ac:dyDescent="0.35">
      <c r="A57" t="s">
        <v>81</v>
      </c>
      <c r="B57" t="s">
        <v>84</v>
      </c>
      <c r="C57" t="s">
        <v>515</v>
      </c>
      <c r="D57" t="s">
        <v>3</v>
      </c>
      <c r="E57" t="s">
        <v>3</v>
      </c>
      <c r="F57" t="s">
        <v>516</v>
      </c>
      <c r="G57" t="s">
        <v>516</v>
      </c>
      <c r="H57" t="s">
        <v>520</v>
      </c>
      <c r="I57" t="s">
        <v>520</v>
      </c>
      <c r="J57" t="s">
        <v>82</v>
      </c>
      <c r="K57" t="s">
        <v>85</v>
      </c>
      <c r="L57" t="s">
        <v>519</v>
      </c>
      <c r="M57" t="s">
        <v>5</v>
      </c>
      <c r="N57" t="s">
        <v>5</v>
      </c>
      <c r="O57" t="s">
        <v>5</v>
      </c>
    </row>
    <row r="58" spans="1:15" x14ac:dyDescent="0.35">
      <c r="A58" t="s">
        <v>81</v>
      </c>
      <c r="B58" t="s">
        <v>86</v>
      </c>
      <c r="C58" t="s">
        <v>515</v>
      </c>
      <c r="D58" t="s">
        <v>3</v>
      </c>
      <c r="E58" t="s">
        <v>3</v>
      </c>
      <c r="F58" t="s">
        <v>516</v>
      </c>
      <c r="G58" t="s">
        <v>516</v>
      </c>
      <c r="H58" t="s">
        <v>520</v>
      </c>
      <c r="I58" t="s">
        <v>520</v>
      </c>
      <c r="J58" t="s">
        <v>82</v>
      </c>
      <c r="K58" t="s">
        <v>87</v>
      </c>
      <c r="L58" t="s">
        <v>519</v>
      </c>
      <c r="M58" t="s">
        <v>5</v>
      </c>
      <c r="N58" t="s">
        <v>5</v>
      </c>
      <c r="O58" t="s">
        <v>5</v>
      </c>
    </row>
    <row r="59" spans="1:15" x14ac:dyDescent="0.35">
      <c r="A59" t="s">
        <v>81</v>
      </c>
      <c r="B59" t="s">
        <v>88</v>
      </c>
      <c r="C59" t="s">
        <v>515</v>
      </c>
      <c r="D59" t="s">
        <v>3</v>
      </c>
      <c r="E59" t="s">
        <v>3</v>
      </c>
      <c r="F59" t="s">
        <v>516</v>
      </c>
      <c r="G59" t="s">
        <v>516</v>
      </c>
      <c r="H59" t="s">
        <v>520</v>
      </c>
      <c r="I59" t="s">
        <v>520</v>
      </c>
      <c r="J59" t="s">
        <v>82</v>
      </c>
      <c r="K59" t="s">
        <v>89</v>
      </c>
      <c r="L59" t="s">
        <v>519</v>
      </c>
      <c r="M59" t="s">
        <v>5</v>
      </c>
      <c r="N59" t="s">
        <v>5</v>
      </c>
      <c r="O59" t="s">
        <v>5</v>
      </c>
    </row>
    <row r="60" spans="1:15" x14ac:dyDescent="0.35">
      <c r="A60" t="s">
        <v>81</v>
      </c>
      <c r="B60" t="s">
        <v>90</v>
      </c>
      <c r="C60" t="s">
        <v>515</v>
      </c>
      <c r="D60" t="s">
        <v>3</v>
      </c>
      <c r="E60" t="s">
        <v>3</v>
      </c>
      <c r="F60" t="s">
        <v>516</v>
      </c>
      <c r="G60" t="s">
        <v>516</v>
      </c>
      <c r="H60" t="s">
        <v>520</v>
      </c>
      <c r="I60" t="s">
        <v>520</v>
      </c>
      <c r="J60" t="s">
        <v>82</v>
      </c>
      <c r="K60" t="s">
        <v>91</v>
      </c>
      <c r="L60" t="s">
        <v>519</v>
      </c>
      <c r="M60" t="s">
        <v>5</v>
      </c>
      <c r="N60" t="s">
        <v>5</v>
      </c>
      <c r="O60" t="s">
        <v>5</v>
      </c>
    </row>
    <row r="61" spans="1:15" x14ac:dyDescent="0.35">
      <c r="A61" t="s">
        <v>94</v>
      </c>
      <c r="B61" t="s">
        <v>92</v>
      </c>
      <c r="C61" t="s">
        <v>515</v>
      </c>
      <c r="D61" t="s">
        <v>3</v>
      </c>
      <c r="E61" t="s">
        <v>3</v>
      </c>
      <c r="F61" t="s">
        <v>516</v>
      </c>
      <c r="G61" t="s">
        <v>516</v>
      </c>
      <c r="H61" t="s">
        <v>520</v>
      </c>
      <c r="I61" t="s">
        <v>520</v>
      </c>
      <c r="J61" t="s">
        <v>95</v>
      </c>
      <c r="K61" t="s">
        <v>93</v>
      </c>
      <c r="L61" t="s">
        <v>519</v>
      </c>
      <c r="M61" t="s">
        <v>5</v>
      </c>
      <c r="N61" t="s">
        <v>5</v>
      </c>
      <c r="O61" t="s">
        <v>5</v>
      </c>
    </row>
    <row r="62" spans="1:15" x14ac:dyDescent="0.35">
      <c r="A62" t="s">
        <v>66</v>
      </c>
      <c r="B62" t="s">
        <v>94</v>
      </c>
      <c r="C62" t="s">
        <v>515</v>
      </c>
      <c r="D62" t="s">
        <v>3</v>
      </c>
      <c r="E62" t="s">
        <v>3</v>
      </c>
      <c r="F62" t="s">
        <v>516</v>
      </c>
      <c r="G62" t="s">
        <v>516</v>
      </c>
      <c r="H62" t="s">
        <v>532</v>
      </c>
      <c r="I62" t="s">
        <v>520</v>
      </c>
      <c r="J62" t="s">
        <v>67</v>
      </c>
      <c r="K62" t="s">
        <v>95</v>
      </c>
      <c r="L62" t="s">
        <v>519</v>
      </c>
      <c r="M62" t="s">
        <v>5</v>
      </c>
      <c r="N62" t="s">
        <v>5</v>
      </c>
      <c r="O62" t="s">
        <v>5</v>
      </c>
    </row>
    <row r="63" spans="1:15" x14ac:dyDescent="0.35">
      <c r="A63" t="s">
        <v>94</v>
      </c>
      <c r="B63" t="s">
        <v>96</v>
      </c>
      <c r="C63" t="s">
        <v>515</v>
      </c>
      <c r="D63" t="s">
        <v>3</v>
      </c>
      <c r="E63" t="s">
        <v>3</v>
      </c>
      <c r="F63" t="s">
        <v>516</v>
      </c>
      <c r="G63" t="s">
        <v>516</v>
      </c>
      <c r="H63" t="s">
        <v>520</v>
      </c>
      <c r="I63" t="s">
        <v>520</v>
      </c>
      <c r="J63" t="s">
        <v>95</v>
      </c>
      <c r="K63" t="s">
        <v>97</v>
      </c>
      <c r="L63" t="s">
        <v>519</v>
      </c>
      <c r="M63" t="s">
        <v>5</v>
      </c>
      <c r="N63" t="s">
        <v>5</v>
      </c>
      <c r="O63" t="s">
        <v>5</v>
      </c>
    </row>
    <row r="64" spans="1:15" x14ac:dyDescent="0.35">
      <c r="A64" t="s">
        <v>96</v>
      </c>
      <c r="B64" t="s">
        <v>98</v>
      </c>
      <c r="C64" t="s">
        <v>515</v>
      </c>
      <c r="D64" t="s">
        <v>3</v>
      </c>
      <c r="E64" t="s">
        <v>3</v>
      </c>
      <c r="F64" t="s">
        <v>516</v>
      </c>
      <c r="G64" t="s">
        <v>516</v>
      </c>
      <c r="H64" t="s">
        <v>520</v>
      </c>
      <c r="I64" t="s">
        <v>520</v>
      </c>
      <c r="J64" t="s">
        <v>97</v>
      </c>
      <c r="K64" t="s">
        <v>99</v>
      </c>
      <c r="L64" t="s">
        <v>519</v>
      </c>
      <c r="M64" t="s">
        <v>5</v>
      </c>
      <c r="N64" t="s">
        <v>5</v>
      </c>
      <c r="O64" t="s">
        <v>5</v>
      </c>
    </row>
    <row r="65" spans="1:15" x14ac:dyDescent="0.35">
      <c r="A65" t="s">
        <v>98</v>
      </c>
      <c r="B65" t="s">
        <v>100</v>
      </c>
      <c r="C65" t="s">
        <v>515</v>
      </c>
      <c r="D65" t="s">
        <v>3</v>
      </c>
      <c r="E65" t="s">
        <v>3</v>
      </c>
      <c r="F65" t="s">
        <v>516</v>
      </c>
      <c r="G65" t="s">
        <v>516</v>
      </c>
      <c r="H65" t="s">
        <v>520</v>
      </c>
      <c r="I65" t="s">
        <v>520</v>
      </c>
      <c r="J65" t="s">
        <v>99</v>
      </c>
      <c r="K65" t="s">
        <v>101</v>
      </c>
      <c r="L65" t="s">
        <v>519</v>
      </c>
      <c r="M65" t="s">
        <v>5</v>
      </c>
      <c r="N65" t="s">
        <v>5</v>
      </c>
      <c r="O65" t="s">
        <v>5</v>
      </c>
    </row>
    <row r="66" spans="1:15" x14ac:dyDescent="0.35">
      <c r="A66" t="s">
        <v>100</v>
      </c>
      <c r="B66" t="s">
        <v>102</v>
      </c>
      <c r="C66" t="s">
        <v>515</v>
      </c>
      <c r="D66" t="s">
        <v>3</v>
      </c>
      <c r="E66" t="s">
        <v>3</v>
      </c>
      <c r="F66" t="s">
        <v>516</v>
      </c>
      <c r="G66" t="s">
        <v>516</v>
      </c>
      <c r="H66" t="s">
        <v>520</v>
      </c>
      <c r="I66" t="s">
        <v>520</v>
      </c>
      <c r="J66" t="s">
        <v>101</v>
      </c>
      <c r="K66" t="s">
        <v>103</v>
      </c>
      <c r="L66" t="s">
        <v>519</v>
      </c>
      <c r="M66" t="s">
        <v>5</v>
      </c>
      <c r="N66" t="s">
        <v>5</v>
      </c>
      <c r="O66" t="s">
        <v>5</v>
      </c>
    </row>
    <row r="67" spans="1:15" x14ac:dyDescent="0.35">
      <c r="A67" t="s">
        <v>102</v>
      </c>
      <c r="B67" t="s">
        <v>104</v>
      </c>
      <c r="C67" t="s">
        <v>515</v>
      </c>
      <c r="D67" t="s">
        <v>3</v>
      </c>
      <c r="E67" t="s">
        <v>3</v>
      </c>
      <c r="F67" t="s">
        <v>516</v>
      </c>
      <c r="G67" t="s">
        <v>516</v>
      </c>
      <c r="H67" t="s">
        <v>520</v>
      </c>
      <c r="I67" t="s">
        <v>520</v>
      </c>
      <c r="J67" t="s">
        <v>103</v>
      </c>
      <c r="K67" t="s">
        <v>105</v>
      </c>
      <c r="L67" t="s">
        <v>519</v>
      </c>
      <c r="M67" t="s">
        <v>5</v>
      </c>
      <c r="N67" t="s">
        <v>5</v>
      </c>
      <c r="O67" t="s">
        <v>5</v>
      </c>
    </row>
    <row r="68" spans="1:15" x14ac:dyDescent="0.35">
      <c r="A68" t="s">
        <v>104</v>
      </c>
      <c r="B68" t="s">
        <v>106</v>
      </c>
      <c r="C68" t="s">
        <v>515</v>
      </c>
      <c r="D68" t="s">
        <v>3</v>
      </c>
      <c r="E68" t="s">
        <v>3</v>
      </c>
      <c r="F68" t="s">
        <v>516</v>
      </c>
      <c r="G68" t="s">
        <v>516</v>
      </c>
      <c r="H68" t="s">
        <v>520</v>
      </c>
      <c r="I68" t="s">
        <v>520</v>
      </c>
      <c r="J68" t="s">
        <v>105</v>
      </c>
      <c r="K68" t="s">
        <v>107</v>
      </c>
      <c r="L68" t="s">
        <v>519</v>
      </c>
      <c r="M68" t="s">
        <v>5</v>
      </c>
      <c r="N68" t="s">
        <v>5</v>
      </c>
      <c r="O68" t="s">
        <v>5</v>
      </c>
    </row>
    <row r="69" spans="1:15" x14ac:dyDescent="0.35">
      <c r="A69" t="s">
        <v>104</v>
      </c>
      <c r="B69" t="s">
        <v>108</v>
      </c>
      <c r="C69" t="s">
        <v>515</v>
      </c>
      <c r="D69" t="s">
        <v>3</v>
      </c>
      <c r="E69" t="s">
        <v>3</v>
      </c>
      <c r="F69" t="s">
        <v>516</v>
      </c>
      <c r="G69" t="s">
        <v>516</v>
      </c>
      <c r="H69" t="s">
        <v>520</v>
      </c>
      <c r="I69" t="s">
        <v>520</v>
      </c>
      <c r="J69" t="s">
        <v>105</v>
      </c>
      <c r="K69" t="s">
        <v>109</v>
      </c>
      <c r="L69" t="s">
        <v>519</v>
      </c>
      <c r="M69" t="s">
        <v>5</v>
      </c>
      <c r="N69" t="s">
        <v>5</v>
      </c>
      <c r="O69" t="s">
        <v>5</v>
      </c>
    </row>
    <row r="70" spans="1:15" x14ac:dyDescent="0.35">
      <c r="A70" t="s">
        <v>106</v>
      </c>
      <c r="B70" t="s">
        <v>108</v>
      </c>
      <c r="C70" t="s">
        <v>515</v>
      </c>
      <c r="D70" t="s">
        <v>3</v>
      </c>
      <c r="E70" t="s">
        <v>3</v>
      </c>
      <c r="F70" t="s">
        <v>516</v>
      </c>
      <c r="G70" t="s">
        <v>516</v>
      </c>
      <c r="H70" t="s">
        <v>520</v>
      </c>
      <c r="I70" t="s">
        <v>520</v>
      </c>
      <c r="J70" t="s">
        <v>107</v>
      </c>
      <c r="K70" t="s">
        <v>109</v>
      </c>
      <c r="L70" t="s">
        <v>519</v>
      </c>
      <c r="M70" t="s">
        <v>5</v>
      </c>
      <c r="N70" t="s">
        <v>5</v>
      </c>
      <c r="O70" t="s">
        <v>5</v>
      </c>
    </row>
    <row r="71" spans="1:15" x14ac:dyDescent="0.35">
      <c r="A71" t="s">
        <v>79</v>
      </c>
      <c r="B71" t="s">
        <v>108</v>
      </c>
      <c r="C71" t="s">
        <v>515</v>
      </c>
      <c r="D71" t="s">
        <v>3</v>
      </c>
      <c r="E71" t="s">
        <v>3</v>
      </c>
      <c r="F71" t="s">
        <v>516</v>
      </c>
      <c r="G71" t="s">
        <v>516</v>
      </c>
      <c r="H71" t="s">
        <v>532</v>
      </c>
      <c r="I71" t="s">
        <v>520</v>
      </c>
      <c r="J71" t="s">
        <v>80</v>
      </c>
      <c r="K71" t="s">
        <v>109</v>
      </c>
      <c r="L71" t="s">
        <v>519</v>
      </c>
      <c r="M71" t="s">
        <v>5</v>
      </c>
      <c r="N71" t="s">
        <v>5</v>
      </c>
      <c r="O71" t="s">
        <v>5</v>
      </c>
    </row>
    <row r="72" spans="1:15" x14ac:dyDescent="0.35">
      <c r="A72" t="s">
        <v>45</v>
      </c>
      <c r="B72" t="s">
        <v>110</v>
      </c>
      <c r="C72" t="s">
        <v>515</v>
      </c>
      <c r="D72" t="s">
        <v>3</v>
      </c>
      <c r="E72" t="s">
        <v>3</v>
      </c>
      <c r="F72" t="s">
        <v>516</v>
      </c>
      <c r="G72" t="s">
        <v>516</v>
      </c>
      <c r="H72" t="s">
        <v>531</v>
      </c>
      <c r="I72" t="s">
        <v>521</v>
      </c>
      <c r="J72" t="s">
        <v>46</v>
      </c>
      <c r="K72" t="s">
        <v>111</v>
      </c>
      <c r="L72" t="s">
        <v>519</v>
      </c>
      <c r="M72" t="s">
        <v>5</v>
      </c>
      <c r="N72" t="s">
        <v>5</v>
      </c>
      <c r="O72" t="s">
        <v>5</v>
      </c>
    </row>
    <row r="73" spans="1:15" x14ac:dyDescent="0.35">
      <c r="A73" t="s">
        <v>110</v>
      </c>
      <c r="B73" t="s">
        <v>113</v>
      </c>
      <c r="C73" t="s">
        <v>515</v>
      </c>
      <c r="D73" t="s">
        <v>3</v>
      </c>
      <c r="E73" t="s">
        <v>3</v>
      </c>
      <c r="F73" t="s">
        <v>516</v>
      </c>
      <c r="G73" t="s">
        <v>516</v>
      </c>
      <c r="H73" t="s">
        <v>521</v>
      </c>
      <c r="I73" t="s">
        <v>521</v>
      </c>
      <c r="J73" t="s">
        <v>111</v>
      </c>
      <c r="K73" t="s">
        <v>114</v>
      </c>
      <c r="L73" t="s">
        <v>519</v>
      </c>
      <c r="M73" t="s">
        <v>5</v>
      </c>
      <c r="N73" t="s">
        <v>5</v>
      </c>
      <c r="O73" t="s">
        <v>5</v>
      </c>
    </row>
    <row r="74" spans="1:15" x14ac:dyDescent="0.35">
      <c r="A74" t="s">
        <v>113</v>
      </c>
      <c r="B74" t="s">
        <v>115</v>
      </c>
      <c r="C74" t="s">
        <v>515</v>
      </c>
      <c r="D74" t="s">
        <v>3</v>
      </c>
      <c r="E74" t="s">
        <v>3</v>
      </c>
      <c r="F74" t="s">
        <v>516</v>
      </c>
      <c r="G74" t="s">
        <v>516</v>
      </c>
      <c r="H74" t="s">
        <v>521</v>
      </c>
      <c r="I74" t="s">
        <v>521</v>
      </c>
      <c r="J74" t="s">
        <v>114</v>
      </c>
      <c r="K74" t="s">
        <v>116</v>
      </c>
      <c r="L74" t="s">
        <v>519</v>
      </c>
      <c r="M74" t="s">
        <v>5</v>
      </c>
      <c r="N74" t="s">
        <v>5</v>
      </c>
      <c r="O74" t="s">
        <v>5</v>
      </c>
    </row>
    <row r="75" spans="1:15" x14ac:dyDescent="0.35">
      <c r="A75" t="s">
        <v>113</v>
      </c>
      <c r="B75" t="s">
        <v>117</v>
      </c>
      <c r="C75" t="s">
        <v>515</v>
      </c>
      <c r="D75" t="s">
        <v>3</v>
      </c>
      <c r="E75" t="s">
        <v>3</v>
      </c>
      <c r="F75" t="s">
        <v>516</v>
      </c>
      <c r="G75" t="s">
        <v>516</v>
      </c>
      <c r="H75" t="s">
        <v>521</v>
      </c>
      <c r="I75" t="s">
        <v>521</v>
      </c>
      <c r="J75" t="s">
        <v>114</v>
      </c>
      <c r="K75" t="s">
        <v>118</v>
      </c>
      <c r="L75" t="s">
        <v>519</v>
      </c>
      <c r="M75" t="s">
        <v>5</v>
      </c>
      <c r="N75" t="s">
        <v>5</v>
      </c>
      <c r="O75" t="s">
        <v>5</v>
      </c>
    </row>
    <row r="76" spans="1:15" x14ac:dyDescent="0.35">
      <c r="A76" t="s">
        <v>117</v>
      </c>
      <c r="B76" t="s">
        <v>119</v>
      </c>
      <c r="C76" t="s">
        <v>515</v>
      </c>
      <c r="D76" t="s">
        <v>3</v>
      </c>
      <c r="E76" t="s">
        <v>3</v>
      </c>
      <c r="F76" t="s">
        <v>516</v>
      </c>
      <c r="G76" t="s">
        <v>516</v>
      </c>
      <c r="H76" t="s">
        <v>521</v>
      </c>
      <c r="I76" t="s">
        <v>521</v>
      </c>
      <c r="J76" t="s">
        <v>118</v>
      </c>
      <c r="K76" t="s">
        <v>120</v>
      </c>
      <c r="L76" t="s">
        <v>519</v>
      </c>
      <c r="M76" t="s">
        <v>5</v>
      </c>
      <c r="N76" t="s">
        <v>5</v>
      </c>
      <c r="O76" t="s">
        <v>5</v>
      </c>
    </row>
    <row r="77" spans="1:15" x14ac:dyDescent="0.35">
      <c r="A77" t="s">
        <v>119</v>
      </c>
      <c r="B77" t="s">
        <v>121</v>
      </c>
      <c r="C77" t="s">
        <v>515</v>
      </c>
      <c r="D77" t="s">
        <v>3</v>
      </c>
      <c r="E77" t="s">
        <v>3</v>
      </c>
      <c r="F77" t="s">
        <v>516</v>
      </c>
      <c r="G77" t="s">
        <v>516</v>
      </c>
      <c r="H77" t="s">
        <v>521</v>
      </c>
      <c r="I77" t="s">
        <v>521</v>
      </c>
      <c r="J77" t="s">
        <v>120</v>
      </c>
      <c r="K77" t="s">
        <v>122</v>
      </c>
      <c r="L77" t="s">
        <v>519</v>
      </c>
      <c r="M77" t="s">
        <v>5</v>
      </c>
      <c r="N77" t="s">
        <v>5</v>
      </c>
      <c r="O77" t="s">
        <v>5</v>
      </c>
    </row>
    <row r="78" spans="1:15" x14ac:dyDescent="0.35">
      <c r="A78" t="s">
        <v>119</v>
      </c>
      <c r="B78" t="s">
        <v>123</v>
      </c>
      <c r="C78" t="s">
        <v>515</v>
      </c>
      <c r="D78" t="s">
        <v>3</v>
      </c>
      <c r="E78" t="s">
        <v>3</v>
      </c>
      <c r="F78" t="s">
        <v>516</v>
      </c>
      <c r="G78" t="s">
        <v>516</v>
      </c>
      <c r="H78" t="s">
        <v>521</v>
      </c>
      <c r="I78" t="s">
        <v>521</v>
      </c>
      <c r="J78" t="s">
        <v>120</v>
      </c>
      <c r="K78" t="s">
        <v>124</v>
      </c>
      <c r="L78" t="s">
        <v>519</v>
      </c>
      <c r="M78" t="s">
        <v>5</v>
      </c>
      <c r="N78" t="s">
        <v>5</v>
      </c>
      <c r="O78" t="s">
        <v>5</v>
      </c>
    </row>
    <row r="79" spans="1:15" x14ac:dyDescent="0.35">
      <c r="A79" t="s">
        <v>121</v>
      </c>
      <c r="B79" t="s">
        <v>125</v>
      </c>
      <c r="C79" t="s">
        <v>515</v>
      </c>
      <c r="D79" t="s">
        <v>3</v>
      </c>
      <c r="E79" t="s">
        <v>3</v>
      </c>
      <c r="F79" t="s">
        <v>516</v>
      </c>
      <c r="G79" t="s">
        <v>516</v>
      </c>
      <c r="H79" t="s">
        <v>521</v>
      </c>
      <c r="I79" t="s">
        <v>521</v>
      </c>
      <c r="J79" t="s">
        <v>122</v>
      </c>
      <c r="K79" t="s">
        <v>126</v>
      </c>
      <c r="L79" t="s">
        <v>519</v>
      </c>
      <c r="M79" t="s">
        <v>5</v>
      </c>
      <c r="N79" t="s">
        <v>5</v>
      </c>
      <c r="O79" t="s">
        <v>5</v>
      </c>
    </row>
    <row r="80" spans="1:15" x14ac:dyDescent="0.35">
      <c r="A80" t="s">
        <v>123</v>
      </c>
      <c r="B80" t="s">
        <v>125</v>
      </c>
      <c r="C80" t="s">
        <v>515</v>
      </c>
      <c r="D80" t="s">
        <v>3</v>
      </c>
      <c r="E80" t="s">
        <v>3</v>
      </c>
      <c r="F80" t="s">
        <v>516</v>
      </c>
      <c r="G80" t="s">
        <v>516</v>
      </c>
      <c r="H80" t="s">
        <v>521</v>
      </c>
      <c r="I80" t="s">
        <v>521</v>
      </c>
      <c r="J80" t="s">
        <v>124</v>
      </c>
      <c r="K80" t="s">
        <v>126</v>
      </c>
      <c r="L80" t="s">
        <v>519</v>
      </c>
      <c r="M80" t="s">
        <v>5</v>
      </c>
      <c r="N80" t="s">
        <v>5</v>
      </c>
      <c r="O80" t="s">
        <v>5</v>
      </c>
    </row>
    <row r="81" spans="1:15" x14ac:dyDescent="0.35">
      <c r="A81" t="s">
        <v>81</v>
      </c>
      <c r="B81" t="s">
        <v>127</v>
      </c>
      <c r="C81" t="s">
        <v>515</v>
      </c>
      <c r="D81" t="s">
        <v>3</v>
      </c>
      <c r="E81" t="s">
        <v>3</v>
      </c>
      <c r="F81" t="s">
        <v>516</v>
      </c>
      <c r="G81" t="s">
        <v>516</v>
      </c>
      <c r="H81" t="s">
        <v>520</v>
      </c>
      <c r="I81" t="s">
        <v>522</v>
      </c>
      <c r="J81" t="s">
        <v>82</v>
      </c>
      <c r="K81" t="s">
        <v>128</v>
      </c>
      <c r="L81" t="s">
        <v>519</v>
      </c>
      <c r="M81" t="s">
        <v>5</v>
      </c>
      <c r="N81" t="s">
        <v>5</v>
      </c>
      <c r="O81" t="s">
        <v>5</v>
      </c>
    </row>
    <row r="82" spans="1:15" x14ac:dyDescent="0.35">
      <c r="A82" t="s">
        <v>127</v>
      </c>
      <c r="B82" t="s">
        <v>130</v>
      </c>
      <c r="C82" t="s">
        <v>515</v>
      </c>
      <c r="D82" t="s">
        <v>3</v>
      </c>
      <c r="E82" t="s">
        <v>3</v>
      </c>
      <c r="F82" t="s">
        <v>516</v>
      </c>
      <c r="G82" t="s">
        <v>516</v>
      </c>
      <c r="H82" t="s">
        <v>522</v>
      </c>
      <c r="I82" t="s">
        <v>522</v>
      </c>
      <c r="J82" t="s">
        <v>128</v>
      </c>
      <c r="K82" t="s">
        <v>131</v>
      </c>
      <c r="L82" t="s">
        <v>519</v>
      </c>
      <c r="M82" t="s">
        <v>5</v>
      </c>
      <c r="N82" t="s">
        <v>5</v>
      </c>
      <c r="O82" t="s">
        <v>5</v>
      </c>
    </row>
    <row r="83" spans="1:15" x14ac:dyDescent="0.35">
      <c r="A83" t="s">
        <v>130</v>
      </c>
      <c r="B83" t="s">
        <v>132</v>
      </c>
      <c r="C83" t="s">
        <v>515</v>
      </c>
      <c r="D83" t="s">
        <v>3</v>
      </c>
      <c r="E83" t="s">
        <v>3</v>
      </c>
      <c r="F83" t="s">
        <v>516</v>
      </c>
      <c r="G83" t="s">
        <v>516</v>
      </c>
      <c r="H83" t="s">
        <v>522</v>
      </c>
      <c r="I83" t="s">
        <v>522</v>
      </c>
      <c r="J83" t="s">
        <v>131</v>
      </c>
      <c r="K83" t="s">
        <v>133</v>
      </c>
      <c r="L83" t="s">
        <v>519</v>
      </c>
      <c r="M83" t="s">
        <v>5</v>
      </c>
      <c r="N83" t="s">
        <v>5</v>
      </c>
      <c r="O83" t="s">
        <v>5</v>
      </c>
    </row>
    <row r="84" spans="1:15" x14ac:dyDescent="0.35">
      <c r="A84" t="s">
        <v>132</v>
      </c>
      <c r="B84" t="s">
        <v>134</v>
      </c>
      <c r="C84" t="s">
        <v>515</v>
      </c>
      <c r="D84" t="s">
        <v>3</v>
      </c>
      <c r="E84" t="s">
        <v>3</v>
      </c>
      <c r="F84" t="s">
        <v>516</v>
      </c>
      <c r="G84" t="s">
        <v>516</v>
      </c>
      <c r="H84" t="s">
        <v>522</v>
      </c>
      <c r="I84" t="s">
        <v>522</v>
      </c>
      <c r="J84" t="s">
        <v>133</v>
      </c>
      <c r="K84" t="s">
        <v>135</v>
      </c>
      <c r="L84" t="s">
        <v>519</v>
      </c>
      <c r="M84" t="s">
        <v>5</v>
      </c>
      <c r="N84" t="s">
        <v>5</v>
      </c>
      <c r="O84" t="s">
        <v>5</v>
      </c>
    </row>
    <row r="85" spans="1:15" x14ac:dyDescent="0.35">
      <c r="A85" t="s">
        <v>115</v>
      </c>
      <c r="B85" t="s">
        <v>136</v>
      </c>
      <c r="C85" t="s">
        <v>515</v>
      </c>
      <c r="D85" t="s">
        <v>3</v>
      </c>
      <c r="E85" t="s">
        <v>3</v>
      </c>
      <c r="F85" t="s">
        <v>516</v>
      </c>
      <c r="G85" t="s">
        <v>516</v>
      </c>
      <c r="H85" t="s">
        <v>521</v>
      </c>
      <c r="I85" t="s">
        <v>522</v>
      </c>
      <c r="J85" t="s">
        <v>116</v>
      </c>
      <c r="K85" t="s">
        <v>137</v>
      </c>
      <c r="L85" t="s">
        <v>519</v>
      </c>
      <c r="M85" t="s">
        <v>5</v>
      </c>
      <c r="N85" t="s">
        <v>5</v>
      </c>
      <c r="O85" t="s">
        <v>5</v>
      </c>
    </row>
    <row r="86" spans="1:15" x14ac:dyDescent="0.35">
      <c r="A86" t="s">
        <v>66</v>
      </c>
      <c r="B86" t="s">
        <v>138</v>
      </c>
      <c r="C86" t="s">
        <v>515</v>
      </c>
      <c r="D86" t="s">
        <v>3</v>
      </c>
      <c r="E86" t="s">
        <v>3</v>
      </c>
      <c r="F86" t="s">
        <v>516</v>
      </c>
      <c r="G86" t="s">
        <v>516</v>
      </c>
      <c r="H86" t="s">
        <v>532</v>
      </c>
      <c r="I86" t="s">
        <v>522</v>
      </c>
      <c r="J86" t="s">
        <v>67</v>
      </c>
      <c r="K86" t="s">
        <v>139</v>
      </c>
      <c r="L86" t="s">
        <v>519</v>
      </c>
      <c r="M86" t="s">
        <v>5</v>
      </c>
      <c r="N86" t="s">
        <v>5</v>
      </c>
      <c r="O86" t="s">
        <v>5</v>
      </c>
    </row>
    <row r="87" spans="1:15" x14ac:dyDescent="0.35">
      <c r="A87" t="s">
        <v>132</v>
      </c>
      <c r="B87" t="s">
        <v>140</v>
      </c>
      <c r="C87" t="s">
        <v>515</v>
      </c>
      <c r="D87" t="s">
        <v>3</v>
      </c>
      <c r="E87" t="s">
        <v>3</v>
      </c>
      <c r="F87" t="s">
        <v>516</v>
      </c>
      <c r="G87" t="s">
        <v>516</v>
      </c>
      <c r="H87" t="s">
        <v>522</v>
      </c>
      <c r="I87" t="s">
        <v>522</v>
      </c>
      <c r="J87" t="s">
        <v>133</v>
      </c>
      <c r="K87" t="s">
        <v>141</v>
      </c>
      <c r="L87" t="s">
        <v>519</v>
      </c>
      <c r="M87" t="s">
        <v>5</v>
      </c>
      <c r="N87" t="s">
        <v>5</v>
      </c>
      <c r="O87" t="s">
        <v>5</v>
      </c>
    </row>
    <row r="88" spans="1:15" x14ac:dyDescent="0.35">
      <c r="A88" t="s">
        <v>134</v>
      </c>
      <c r="B88" t="s">
        <v>142</v>
      </c>
      <c r="C88" t="s">
        <v>515</v>
      </c>
      <c r="D88" t="s">
        <v>3</v>
      </c>
      <c r="E88" t="s">
        <v>3</v>
      </c>
      <c r="F88" t="s">
        <v>516</v>
      </c>
      <c r="G88" t="s">
        <v>516</v>
      </c>
      <c r="H88" t="s">
        <v>522</v>
      </c>
      <c r="I88" t="s">
        <v>522</v>
      </c>
      <c r="J88" t="s">
        <v>135</v>
      </c>
      <c r="K88" t="s">
        <v>143</v>
      </c>
      <c r="L88" t="s">
        <v>519</v>
      </c>
      <c r="M88" t="s">
        <v>5</v>
      </c>
      <c r="N88" t="s">
        <v>5</v>
      </c>
      <c r="O88" t="s">
        <v>5</v>
      </c>
    </row>
    <row r="89" spans="1:15" x14ac:dyDescent="0.35">
      <c r="A89" t="s">
        <v>140</v>
      </c>
      <c r="B89" t="s">
        <v>142</v>
      </c>
      <c r="C89" t="s">
        <v>515</v>
      </c>
      <c r="D89" t="s">
        <v>3</v>
      </c>
      <c r="E89" t="s">
        <v>3</v>
      </c>
      <c r="F89" t="s">
        <v>516</v>
      </c>
      <c r="G89" t="s">
        <v>516</v>
      </c>
      <c r="H89" t="s">
        <v>522</v>
      </c>
      <c r="I89" t="s">
        <v>522</v>
      </c>
      <c r="J89" t="s">
        <v>141</v>
      </c>
      <c r="K89" t="s">
        <v>143</v>
      </c>
      <c r="L89" t="s">
        <v>519</v>
      </c>
      <c r="M89" t="s">
        <v>5</v>
      </c>
      <c r="N89" t="s">
        <v>5</v>
      </c>
      <c r="O89" t="s">
        <v>5</v>
      </c>
    </row>
    <row r="90" spans="1:15" x14ac:dyDescent="0.35">
      <c r="A90" t="s">
        <v>136</v>
      </c>
      <c r="B90" t="s">
        <v>142</v>
      </c>
      <c r="C90" t="s">
        <v>515</v>
      </c>
      <c r="D90" t="s">
        <v>3</v>
      </c>
      <c r="E90" t="s">
        <v>3</v>
      </c>
      <c r="F90" t="s">
        <v>516</v>
      </c>
      <c r="G90" t="s">
        <v>516</v>
      </c>
      <c r="H90" t="s">
        <v>522</v>
      </c>
      <c r="I90" t="s">
        <v>522</v>
      </c>
      <c r="J90" t="s">
        <v>137</v>
      </c>
      <c r="K90" t="s">
        <v>143</v>
      </c>
      <c r="L90" t="s">
        <v>519</v>
      </c>
      <c r="M90" t="s">
        <v>5</v>
      </c>
      <c r="N90" t="s">
        <v>5</v>
      </c>
      <c r="O90" t="s">
        <v>5</v>
      </c>
    </row>
    <row r="91" spans="1:15" x14ac:dyDescent="0.35">
      <c r="A91" t="s">
        <v>138</v>
      </c>
      <c r="B91" t="s">
        <v>142</v>
      </c>
      <c r="C91" t="s">
        <v>515</v>
      </c>
      <c r="D91" t="s">
        <v>3</v>
      </c>
      <c r="E91" t="s">
        <v>3</v>
      </c>
      <c r="F91" t="s">
        <v>516</v>
      </c>
      <c r="G91" t="s">
        <v>516</v>
      </c>
      <c r="H91" t="s">
        <v>522</v>
      </c>
      <c r="I91" t="s">
        <v>522</v>
      </c>
      <c r="J91" t="s">
        <v>139</v>
      </c>
      <c r="K91" t="s">
        <v>143</v>
      </c>
      <c r="L91" t="s">
        <v>519</v>
      </c>
      <c r="M91" t="s">
        <v>5</v>
      </c>
      <c r="N91" t="s">
        <v>5</v>
      </c>
      <c r="O91" t="s">
        <v>5</v>
      </c>
    </row>
    <row r="92" spans="1:15" x14ac:dyDescent="0.35">
      <c r="A92" t="s">
        <v>66</v>
      </c>
      <c r="B92" t="s">
        <v>144</v>
      </c>
      <c r="C92" t="s">
        <v>515</v>
      </c>
      <c r="D92" t="s">
        <v>3</v>
      </c>
      <c r="E92" t="s">
        <v>3</v>
      </c>
      <c r="F92" t="s">
        <v>516</v>
      </c>
      <c r="G92" t="s">
        <v>516</v>
      </c>
      <c r="H92" t="s">
        <v>532</v>
      </c>
      <c r="I92" t="s">
        <v>523</v>
      </c>
      <c r="J92" t="s">
        <v>67</v>
      </c>
      <c r="K92" t="s">
        <v>145</v>
      </c>
      <c r="L92" t="s">
        <v>519</v>
      </c>
      <c r="M92" t="s">
        <v>5</v>
      </c>
      <c r="N92" t="s">
        <v>5</v>
      </c>
      <c r="O92" t="s">
        <v>5</v>
      </c>
    </row>
    <row r="93" spans="1:15" x14ac:dyDescent="0.35">
      <c r="A93" t="s">
        <v>144</v>
      </c>
      <c r="B93" t="s">
        <v>146</v>
      </c>
      <c r="C93" t="s">
        <v>515</v>
      </c>
      <c r="D93" t="s">
        <v>3</v>
      </c>
      <c r="E93" t="s">
        <v>3</v>
      </c>
      <c r="F93" t="s">
        <v>516</v>
      </c>
      <c r="G93" t="s">
        <v>516</v>
      </c>
      <c r="H93" t="s">
        <v>523</v>
      </c>
      <c r="I93" t="s">
        <v>523</v>
      </c>
      <c r="J93" t="s">
        <v>145</v>
      </c>
      <c r="K93" t="s">
        <v>147</v>
      </c>
      <c r="L93" t="s">
        <v>519</v>
      </c>
      <c r="M93" t="s">
        <v>5</v>
      </c>
      <c r="N93" t="s">
        <v>5</v>
      </c>
      <c r="O93" t="s">
        <v>5</v>
      </c>
    </row>
    <row r="94" spans="1:15" x14ac:dyDescent="0.35">
      <c r="A94" t="s">
        <v>146</v>
      </c>
      <c r="B94" t="s">
        <v>148</v>
      </c>
      <c r="C94" t="s">
        <v>515</v>
      </c>
      <c r="D94" t="s">
        <v>3</v>
      </c>
      <c r="E94" t="s">
        <v>3</v>
      </c>
      <c r="F94" t="s">
        <v>516</v>
      </c>
      <c r="G94" t="s">
        <v>516</v>
      </c>
      <c r="H94" t="s">
        <v>523</v>
      </c>
      <c r="I94" t="s">
        <v>523</v>
      </c>
      <c r="J94" t="s">
        <v>147</v>
      </c>
      <c r="K94" t="s">
        <v>149</v>
      </c>
      <c r="L94" t="s">
        <v>519</v>
      </c>
      <c r="M94" t="s">
        <v>5</v>
      </c>
      <c r="N94" t="s">
        <v>5</v>
      </c>
      <c r="O94" t="s">
        <v>5</v>
      </c>
    </row>
    <row r="95" spans="1:15" x14ac:dyDescent="0.35">
      <c r="A95" t="s">
        <v>68</v>
      </c>
      <c r="B95" t="s">
        <v>150</v>
      </c>
      <c r="C95" t="s">
        <v>515</v>
      </c>
      <c r="D95" t="s">
        <v>3</v>
      </c>
      <c r="E95" t="s">
        <v>3</v>
      </c>
      <c r="F95" t="s">
        <v>516</v>
      </c>
      <c r="G95" t="s">
        <v>516</v>
      </c>
      <c r="H95" t="s">
        <v>532</v>
      </c>
      <c r="I95" t="s">
        <v>523</v>
      </c>
      <c r="J95" t="s">
        <v>69</v>
      </c>
      <c r="K95" t="s">
        <v>151</v>
      </c>
      <c r="L95" t="s">
        <v>519</v>
      </c>
      <c r="M95" t="s">
        <v>5</v>
      </c>
      <c r="N95" t="s">
        <v>5</v>
      </c>
      <c r="O95" t="s">
        <v>5</v>
      </c>
    </row>
    <row r="96" spans="1:15" x14ac:dyDescent="0.35">
      <c r="A96" t="s">
        <v>73</v>
      </c>
      <c r="B96" t="s">
        <v>152</v>
      </c>
      <c r="C96" t="s">
        <v>515</v>
      </c>
      <c r="D96" t="s">
        <v>3</v>
      </c>
      <c r="E96" t="s">
        <v>3</v>
      </c>
      <c r="F96" t="s">
        <v>516</v>
      </c>
      <c r="G96" t="s">
        <v>516</v>
      </c>
      <c r="H96" t="s">
        <v>532</v>
      </c>
      <c r="I96" t="s">
        <v>523</v>
      </c>
      <c r="J96" t="s">
        <v>74</v>
      </c>
      <c r="K96" t="s">
        <v>153</v>
      </c>
      <c r="L96" t="s">
        <v>519</v>
      </c>
      <c r="M96" t="s">
        <v>5</v>
      </c>
      <c r="N96" t="s">
        <v>5</v>
      </c>
      <c r="O96" t="s">
        <v>5</v>
      </c>
    </row>
    <row r="97" spans="1:15" x14ac:dyDescent="0.35">
      <c r="A97" t="s">
        <v>146</v>
      </c>
      <c r="B97" t="s">
        <v>154</v>
      </c>
      <c r="C97" t="s">
        <v>515</v>
      </c>
      <c r="D97" t="s">
        <v>3</v>
      </c>
      <c r="E97" t="s">
        <v>3</v>
      </c>
      <c r="F97" t="s">
        <v>516</v>
      </c>
      <c r="G97" t="s">
        <v>516</v>
      </c>
      <c r="H97" t="s">
        <v>523</v>
      </c>
      <c r="I97" t="s">
        <v>523</v>
      </c>
      <c r="J97" t="s">
        <v>147</v>
      </c>
      <c r="K97" t="s">
        <v>155</v>
      </c>
      <c r="L97" t="s">
        <v>519</v>
      </c>
      <c r="M97" t="s">
        <v>5</v>
      </c>
      <c r="N97" t="s">
        <v>5</v>
      </c>
      <c r="O97" t="s">
        <v>5</v>
      </c>
    </row>
    <row r="98" spans="1:15" x14ac:dyDescent="0.35">
      <c r="A98" t="s">
        <v>148</v>
      </c>
      <c r="B98" t="s">
        <v>156</v>
      </c>
      <c r="C98" t="s">
        <v>515</v>
      </c>
      <c r="D98" t="s">
        <v>3</v>
      </c>
      <c r="E98" t="s">
        <v>3</v>
      </c>
      <c r="F98" t="s">
        <v>516</v>
      </c>
      <c r="G98" t="s">
        <v>516</v>
      </c>
      <c r="H98" t="s">
        <v>523</v>
      </c>
      <c r="I98" t="s">
        <v>523</v>
      </c>
      <c r="J98" t="s">
        <v>149</v>
      </c>
      <c r="K98" t="s">
        <v>157</v>
      </c>
      <c r="L98" t="s">
        <v>519</v>
      </c>
      <c r="M98" t="s">
        <v>5</v>
      </c>
      <c r="N98" t="s">
        <v>5</v>
      </c>
      <c r="O98" t="s">
        <v>5</v>
      </c>
    </row>
    <row r="99" spans="1:15" x14ac:dyDescent="0.35">
      <c r="A99" t="s">
        <v>152</v>
      </c>
      <c r="B99" t="s">
        <v>156</v>
      </c>
      <c r="C99" t="s">
        <v>515</v>
      </c>
      <c r="D99" t="s">
        <v>3</v>
      </c>
      <c r="E99" t="s">
        <v>3</v>
      </c>
      <c r="F99" t="s">
        <v>516</v>
      </c>
      <c r="G99" t="s">
        <v>516</v>
      </c>
      <c r="H99" t="s">
        <v>523</v>
      </c>
      <c r="I99" t="s">
        <v>523</v>
      </c>
      <c r="J99" t="s">
        <v>153</v>
      </c>
      <c r="K99" t="s">
        <v>157</v>
      </c>
      <c r="L99" t="s">
        <v>519</v>
      </c>
      <c r="M99" t="s">
        <v>5</v>
      </c>
      <c r="N99" t="s">
        <v>5</v>
      </c>
      <c r="O99" t="s">
        <v>5</v>
      </c>
    </row>
    <row r="100" spans="1:15" x14ac:dyDescent="0.35">
      <c r="A100" t="s">
        <v>154</v>
      </c>
      <c r="B100" t="s">
        <v>156</v>
      </c>
      <c r="C100" t="s">
        <v>515</v>
      </c>
      <c r="D100" t="s">
        <v>3</v>
      </c>
      <c r="E100" t="s">
        <v>3</v>
      </c>
      <c r="F100" t="s">
        <v>516</v>
      </c>
      <c r="G100" t="s">
        <v>516</v>
      </c>
      <c r="H100" t="s">
        <v>523</v>
      </c>
      <c r="I100" t="s">
        <v>523</v>
      </c>
      <c r="J100" t="s">
        <v>155</v>
      </c>
      <c r="K100" t="s">
        <v>157</v>
      </c>
      <c r="L100" t="s">
        <v>519</v>
      </c>
      <c r="M100" t="s">
        <v>5</v>
      </c>
      <c r="N100" t="s">
        <v>5</v>
      </c>
      <c r="O100" t="s">
        <v>5</v>
      </c>
    </row>
    <row r="101" spans="1:15" x14ac:dyDescent="0.35">
      <c r="A101" t="s">
        <v>45</v>
      </c>
      <c r="B101" t="s">
        <v>158</v>
      </c>
      <c r="C101" t="s">
        <v>515</v>
      </c>
      <c r="D101" t="s">
        <v>3</v>
      </c>
      <c r="E101" t="s">
        <v>3</v>
      </c>
      <c r="F101" t="s">
        <v>516</v>
      </c>
      <c r="G101" t="s">
        <v>516</v>
      </c>
      <c r="H101" t="s">
        <v>531</v>
      </c>
      <c r="I101" t="s">
        <v>524</v>
      </c>
      <c r="J101" t="s">
        <v>46</v>
      </c>
      <c r="K101" t="s">
        <v>159</v>
      </c>
      <c r="L101" t="s">
        <v>519</v>
      </c>
      <c r="M101" t="s">
        <v>5</v>
      </c>
      <c r="N101" t="s">
        <v>5</v>
      </c>
      <c r="O101" t="s">
        <v>5</v>
      </c>
    </row>
    <row r="102" spans="1:15" x14ac:dyDescent="0.35">
      <c r="A102" t="s">
        <v>158</v>
      </c>
      <c r="B102" t="s">
        <v>161</v>
      </c>
      <c r="C102" t="s">
        <v>515</v>
      </c>
      <c r="D102" t="s">
        <v>3</v>
      </c>
      <c r="E102" t="s">
        <v>3</v>
      </c>
      <c r="F102" t="s">
        <v>516</v>
      </c>
      <c r="G102" t="s">
        <v>516</v>
      </c>
      <c r="H102" t="s">
        <v>524</v>
      </c>
      <c r="I102" t="s">
        <v>524</v>
      </c>
      <c r="J102" t="s">
        <v>159</v>
      </c>
      <c r="K102" t="s">
        <v>162</v>
      </c>
      <c r="L102" t="s">
        <v>519</v>
      </c>
      <c r="M102" t="s">
        <v>5</v>
      </c>
      <c r="N102" t="s">
        <v>5</v>
      </c>
      <c r="O102" t="s">
        <v>5</v>
      </c>
    </row>
    <row r="103" spans="1:15" x14ac:dyDescent="0.35">
      <c r="A103" t="s">
        <v>161</v>
      </c>
      <c r="B103" t="s">
        <v>163</v>
      </c>
      <c r="C103" t="s">
        <v>515</v>
      </c>
      <c r="D103" t="s">
        <v>3</v>
      </c>
      <c r="E103" t="s">
        <v>3</v>
      </c>
      <c r="F103" t="s">
        <v>516</v>
      </c>
      <c r="G103" t="s">
        <v>516</v>
      </c>
      <c r="H103" t="s">
        <v>524</v>
      </c>
      <c r="I103" t="s">
        <v>524</v>
      </c>
      <c r="J103" t="s">
        <v>162</v>
      </c>
      <c r="K103" t="s">
        <v>164</v>
      </c>
      <c r="L103" t="s">
        <v>519</v>
      </c>
      <c r="M103" t="s">
        <v>5</v>
      </c>
      <c r="N103" t="s">
        <v>5</v>
      </c>
      <c r="O103" t="s">
        <v>5</v>
      </c>
    </row>
    <row r="104" spans="1:15" x14ac:dyDescent="0.35">
      <c r="A104" t="s">
        <v>161</v>
      </c>
      <c r="B104" t="s">
        <v>165</v>
      </c>
      <c r="C104" t="s">
        <v>515</v>
      </c>
      <c r="D104" t="s">
        <v>3</v>
      </c>
      <c r="E104" t="s">
        <v>3</v>
      </c>
      <c r="F104" t="s">
        <v>516</v>
      </c>
      <c r="G104" t="s">
        <v>516</v>
      </c>
      <c r="H104" t="s">
        <v>524</v>
      </c>
      <c r="I104" t="s">
        <v>524</v>
      </c>
      <c r="J104" t="s">
        <v>162</v>
      </c>
      <c r="K104" t="s">
        <v>166</v>
      </c>
      <c r="L104" t="s">
        <v>519</v>
      </c>
      <c r="M104" t="s">
        <v>5</v>
      </c>
      <c r="N104" t="s">
        <v>5</v>
      </c>
      <c r="O104" t="s">
        <v>5</v>
      </c>
    </row>
    <row r="105" spans="1:15" x14ac:dyDescent="0.35">
      <c r="A105" t="s">
        <v>158</v>
      </c>
      <c r="B105" t="s">
        <v>167</v>
      </c>
      <c r="C105" t="s">
        <v>515</v>
      </c>
      <c r="D105" t="s">
        <v>3</v>
      </c>
      <c r="E105" t="s">
        <v>3</v>
      </c>
      <c r="F105" t="s">
        <v>516</v>
      </c>
      <c r="G105" t="s">
        <v>516</v>
      </c>
      <c r="H105" t="s">
        <v>524</v>
      </c>
      <c r="I105" t="s">
        <v>524</v>
      </c>
      <c r="J105" t="s">
        <v>159</v>
      </c>
      <c r="K105" t="s">
        <v>168</v>
      </c>
      <c r="L105" t="s">
        <v>519</v>
      </c>
      <c r="M105" t="s">
        <v>5</v>
      </c>
      <c r="N105" t="s">
        <v>5</v>
      </c>
      <c r="O105" t="s">
        <v>5</v>
      </c>
    </row>
    <row r="106" spans="1:15" x14ac:dyDescent="0.35">
      <c r="A106" t="s">
        <v>167</v>
      </c>
      <c r="B106" t="s">
        <v>169</v>
      </c>
      <c r="C106" t="s">
        <v>515</v>
      </c>
      <c r="D106" t="s">
        <v>3</v>
      </c>
      <c r="E106" t="s">
        <v>3</v>
      </c>
      <c r="F106" t="s">
        <v>516</v>
      </c>
      <c r="G106" t="s">
        <v>516</v>
      </c>
      <c r="H106" t="s">
        <v>524</v>
      </c>
      <c r="I106" t="s">
        <v>524</v>
      </c>
      <c r="J106" t="s">
        <v>168</v>
      </c>
      <c r="K106" t="s">
        <v>170</v>
      </c>
      <c r="L106" t="s">
        <v>519</v>
      </c>
      <c r="M106" t="s">
        <v>5</v>
      </c>
      <c r="N106" t="s">
        <v>5</v>
      </c>
      <c r="O106" t="s">
        <v>5</v>
      </c>
    </row>
    <row r="107" spans="1:15" x14ac:dyDescent="0.35">
      <c r="A107" t="s">
        <v>165</v>
      </c>
      <c r="B107" t="s">
        <v>169</v>
      </c>
      <c r="C107" t="s">
        <v>515</v>
      </c>
      <c r="D107" t="s">
        <v>3</v>
      </c>
      <c r="E107" t="s">
        <v>3</v>
      </c>
      <c r="F107" t="s">
        <v>516</v>
      </c>
      <c r="G107" t="s">
        <v>516</v>
      </c>
      <c r="H107" t="s">
        <v>524</v>
      </c>
      <c r="I107" t="s">
        <v>524</v>
      </c>
      <c r="J107" t="s">
        <v>166</v>
      </c>
      <c r="K107" t="s">
        <v>170</v>
      </c>
      <c r="L107" t="s">
        <v>519</v>
      </c>
      <c r="M107" t="s">
        <v>5</v>
      </c>
      <c r="N107" t="s">
        <v>5</v>
      </c>
      <c r="O107" t="s">
        <v>5</v>
      </c>
    </row>
    <row r="108" spans="1:15" x14ac:dyDescent="0.35">
      <c r="A108" t="s">
        <v>169</v>
      </c>
      <c r="B108" t="s">
        <v>171</v>
      </c>
      <c r="C108" t="s">
        <v>515</v>
      </c>
      <c r="D108" t="s">
        <v>3</v>
      </c>
      <c r="E108" t="s">
        <v>3</v>
      </c>
      <c r="F108" t="s">
        <v>516</v>
      </c>
      <c r="G108" t="s">
        <v>516</v>
      </c>
      <c r="H108" t="s">
        <v>524</v>
      </c>
      <c r="I108" t="s">
        <v>524</v>
      </c>
      <c r="J108" t="s">
        <v>170</v>
      </c>
      <c r="K108" t="s">
        <v>172</v>
      </c>
      <c r="L108" t="s">
        <v>519</v>
      </c>
      <c r="M108" t="s">
        <v>5</v>
      </c>
      <c r="N108" t="s">
        <v>5</v>
      </c>
      <c r="O108" t="s">
        <v>5</v>
      </c>
    </row>
    <row r="109" spans="1:15" x14ac:dyDescent="0.35">
      <c r="A109" t="s">
        <v>169</v>
      </c>
      <c r="B109" t="s">
        <v>173</v>
      </c>
      <c r="C109" t="s">
        <v>515</v>
      </c>
      <c r="D109" t="s">
        <v>3</v>
      </c>
      <c r="E109" t="s">
        <v>3</v>
      </c>
      <c r="F109" t="s">
        <v>516</v>
      </c>
      <c r="G109" t="s">
        <v>516</v>
      </c>
      <c r="H109" t="s">
        <v>524</v>
      </c>
      <c r="I109" t="s">
        <v>524</v>
      </c>
      <c r="J109" t="s">
        <v>170</v>
      </c>
      <c r="K109" t="s">
        <v>174</v>
      </c>
      <c r="L109" t="s">
        <v>519</v>
      </c>
      <c r="M109" t="s">
        <v>5</v>
      </c>
      <c r="N109" t="s">
        <v>5</v>
      </c>
      <c r="O109" t="s">
        <v>5</v>
      </c>
    </row>
    <row r="110" spans="1:15" x14ac:dyDescent="0.35">
      <c r="A110" t="s">
        <v>171</v>
      </c>
      <c r="B110" t="s">
        <v>173</v>
      </c>
      <c r="C110" t="s">
        <v>515</v>
      </c>
      <c r="D110" t="s">
        <v>3</v>
      </c>
      <c r="E110" t="s">
        <v>3</v>
      </c>
      <c r="F110" t="s">
        <v>516</v>
      </c>
      <c r="G110" t="s">
        <v>516</v>
      </c>
      <c r="H110" t="s">
        <v>524</v>
      </c>
      <c r="I110" t="s">
        <v>524</v>
      </c>
      <c r="J110" t="s">
        <v>172</v>
      </c>
      <c r="K110" t="s">
        <v>174</v>
      </c>
      <c r="L110" t="s">
        <v>519</v>
      </c>
      <c r="M110" t="s">
        <v>5</v>
      </c>
      <c r="N110" t="s">
        <v>5</v>
      </c>
      <c r="O110" t="s">
        <v>5</v>
      </c>
    </row>
    <row r="111" spans="1:15" x14ac:dyDescent="0.35">
      <c r="A111" t="s">
        <v>25</v>
      </c>
      <c r="B111" t="s">
        <v>175</v>
      </c>
      <c r="C111" t="s">
        <v>515</v>
      </c>
      <c r="D111" t="s">
        <v>3</v>
      </c>
      <c r="E111" t="s">
        <v>3</v>
      </c>
      <c r="F111" t="s">
        <v>516</v>
      </c>
      <c r="G111" t="s">
        <v>516</v>
      </c>
      <c r="H111" t="s">
        <v>517</v>
      </c>
      <c r="I111" t="s">
        <v>533</v>
      </c>
      <c r="J111" t="s">
        <v>26</v>
      </c>
      <c r="K111" t="s">
        <v>176</v>
      </c>
      <c r="L111" t="s">
        <v>519</v>
      </c>
      <c r="M111" t="s">
        <v>5</v>
      </c>
      <c r="N111" t="s">
        <v>5</v>
      </c>
      <c r="O111" t="s">
        <v>5</v>
      </c>
    </row>
    <row r="112" spans="1:15" x14ac:dyDescent="0.35">
      <c r="A112" t="s">
        <v>175</v>
      </c>
      <c r="B112" t="s">
        <v>178</v>
      </c>
      <c r="C112" t="s">
        <v>515</v>
      </c>
      <c r="D112" t="s">
        <v>3</v>
      </c>
      <c r="E112" t="s">
        <v>3</v>
      </c>
      <c r="F112" t="s">
        <v>516</v>
      </c>
      <c r="G112" t="s">
        <v>516</v>
      </c>
      <c r="H112" t="s">
        <v>533</v>
      </c>
      <c r="I112" t="s">
        <v>533</v>
      </c>
      <c r="J112" t="s">
        <v>176</v>
      </c>
      <c r="K112" t="s">
        <v>179</v>
      </c>
      <c r="L112" t="s">
        <v>519</v>
      </c>
      <c r="M112" t="s">
        <v>5</v>
      </c>
      <c r="N112" t="s">
        <v>5</v>
      </c>
      <c r="O112" t="s">
        <v>5</v>
      </c>
    </row>
    <row r="113" spans="1:15" x14ac:dyDescent="0.35">
      <c r="A113" t="s">
        <v>173</v>
      </c>
      <c r="B113" t="s">
        <v>178</v>
      </c>
      <c r="C113" t="s">
        <v>515</v>
      </c>
      <c r="D113" t="s">
        <v>3</v>
      </c>
      <c r="E113" t="s">
        <v>3</v>
      </c>
      <c r="F113" t="s">
        <v>516</v>
      </c>
      <c r="G113" t="s">
        <v>516</v>
      </c>
      <c r="H113" t="s">
        <v>524</v>
      </c>
      <c r="I113" t="s">
        <v>533</v>
      </c>
      <c r="J113" t="s">
        <v>174</v>
      </c>
      <c r="K113" t="s">
        <v>179</v>
      </c>
      <c r="L113" t="s">
        <v>519</v>
      </c>
      <c r="M113" t="s">
        <v>5</v>
      </c>
      <c r="N113" t="s">
        <v>5</v>
      </c>
      <c r="O113" t="s">
        <v>5</v>
      </c>
    </row>
    <row r="114" spans="1:15" x14ac:dyDescent="0.35">
      <c r="A114" t="s">
        <v>161</v>
      </c>
      <c r="B114" t="s">
        <v>180</v>
      </c>
      <c r="C114" t="s">
        <v>515</v>
      </c>
      <c r="D114" t="s">
        <v>3</v>
      </c>
      <c r="E114" t="s">
        <v>3</v>
      </c>
      <c r="F114" t="s">
        <v>516</v>
      </c>
      <c r="G114" t="s">
        <v>516</v>
      </c>
      <c r="H114" t="s">
        <v>524</v>
      </c>
      <c r="I114" t="s">
        <v>533</v>
      </c>
      <c r="J114" t="s">
        <v>162</v>
      </c>
      <c r="K114" t="s">
        <v>181</v>
      </c>
      <c r="L114" t="s">
        <v>519</v>
      </c>
      <c r="M114" t="s">
        <v>5</v>
      </c>
      <c r="N114" t="s">
        <v>5</v>
      </c>
      <c r="O114" t="s">
        <v>5</v>
      </c>
    </row>
    <row r="115" spans="1:15" x14ac:dyDescent="0.35">
      <c r="A115" t="s">
        <v>163</v>
      </c>
      <c r="B115" t="s">
        <v>183</v>
      </c>
      <c r="C115" t="s">
        <v>515</v>
      </c>
      <c r="D115" t="s">
        <v>3</v>
      </c>
      <c r="E115" t="s">
        <v>3</v>
      </c>
      <c r="F115" t="s">
        <v>516</v>
      </c>
      <c r="G115" t="s">
        <v>516</v>
      </c>
      <c r="H115" t="s">
        <v>524</v>
      </c>
      <c r="I115" t="s">
        <v>533</v>
      </c>
      <c r="J115" t="s">
        <v>164</v>
      </c>
      <c r="K115" t="s">
        <v>184</v>
      </c>
      <c r="L115" t="s">
        <v>519</v>
      </c>
      <c r="M115" t="s">
        <v>5</v>
      </c>
      <c r="N115" t="s">
        <v>5</v>
      </c>
      <c r="O115" t="s">
        <v>5</v>
      </c>
    </row>
    <row r="116" spans="1:15" x14ac:dyDescent="0.35">
      <c r="A116" t="s">
        <v>163</v>
      </c>
      <c r="B116" t="s">
        <v>186</v>
      </c>
      <c r="C116" t="s">
        <v>515</v>
      </c>
      <c r="D116" t="s">
        <v>3</v>
      </c>
      <c r="E116" t="s">
        <v>3</v>
      </c>
      <c r="F116" t="s">
        <v>516</v>
      </c>
      <c r="G116" t="s">
        <v>516</v>
      </c>
      <c r="H116" t="s">
        <v>524</v>
      </c>
      <c r="I116" t="s">
        <v>533</v>
      </c>
      <c r="J116" t="s">
        <v>164</v>
      </c>
      <c r="K116" t="s">
        <v>187</v>
      </c>
      <c r="L116" t="s">
        <v>519</v>
      </c>
      <c r="M116" t="s">
        <v>5</v>
      </c>
      <c r="N116" t="s">
        <v>5</v>
      </c>
      <c r="O116" t="s">
        <v>5</v>
      </c>
    </row>
    <row r="117" spans="1:15" x14ac:dyDescent="0.35">
      <c r="A117" t="s">
        <v>183</v>
      </c>
      <c r="B117" t="s">
        <v>188</v>
      </c>
      <c r="C117" t="s">
        <v>515</v>
      </c>
      <c r="D117" t="s">
        <v>3</v>
      </c>
      <c r="E117" t="s">
        <v>3</v>
      </c>
      <c r="F117" t="s">
        <v>516</v>
      </c>
      <c r="G117" t="s">
        <v>516</v>
      </c>
      <c r="H117" t="s">
        <v>533</v>
      </c>
      <c r="I117" t="s">
        <v>533</v>
      </c>
      <c r="J117" t="s">
        <v>184</v>
      </c>
      <c r="K117" t="s">
        <v>189</v>
      </c>
      <c r="L117" t="s">
        <v>519</v>
      </c>
      <c r="M117" t="s">
        <v>5</v>
      </c>
      <c r="N117" t="s">
        <v>5</v>
      </c>
      <c r="O117" t="s">
        <v>5</v>
      </c>
    </row>
    <row r="118" spans="1:15" x14ac:dyDescent="0.35">
      <c r="A118" t="s">
        <v>186</v>
      </c>
      <c r="B118" t="s">
        <v>188</v>
      </c>
      <c r="C118" t="s">
        <v>515</v>
      </c>
      <c r="D118" t="s">
        <v>3</v>
      </c>
      <c r="E118" t="s">
        <v>3</v>
      </c>
      <c r="F118" t="s">
        <v>516</v>
      </c>
      <c r="G118" t="s">
        <v>516</v>
      </c>
      <c r="H118" t="s">
        <v>533</v>
      </c>
      <c r="I118" t="s">
        <v>533</v>
      </c>
      <c r="J118" t="s">
        <v>187</v>
      </c>
      <c r="K118" t="s">
        <v>189</v>
      </c>
      <c r="L118" t="s">
        <v>519</v>
      </c>
      <c r="M118" t="s">
        <v>5</v>
      </c>
      <c r="N118" t="s">
        <v>5</v>
      </c>
      <c r="O118" t="s">
        <v>5</v>
      </c>
    </row>
    <row r="119" spans="1:15" x14ac:dyDescent="0.35">
      <c r="A119" t="s">
        <v>178</v>
      </c>
      <c r="B119" t="s">
        <v>190</v>
      </c>
      <c r="C119" t="s">
        <v>515</v>
      </c>
      <c r="D119" t="s">
        <v>3</v>
      </c>
      <c r="E119" t="s">
        <v>3</v>
      </c>
      <c r="F119" t="s">
        <v>516</v>
      </c>
      <c r="G119" t="s">
        <v>516</v>
      </c>
      <c r="H119" t="s">
        <v>533</v>
      </c>
      <c r="I119" t="s">
        <v>533</v>
      </c>
      <c r="J119" t="s">
        <v>179</v>
      </c>
      <c r="K119" t="s">
        <v>191</v>
      </c>
      <c r="L119" t="s">
        <v>519</v>
      </c>
      <c r="M119" t="s">
        <v>5</v>
      </c>
      <c r="N119" t="s">
        <v>5</v>
      </c>
      <c r="O119" t="s">
        <v>5</v>
      </c>
    </row>
    <row r="120" spans="1:15" x14ac:dyDescent="0.35">
      <c r="A120" t="s">
        <v>180</v>
      </c>
      <c r="B120" t="s">
        <v>190</v>
      </c>
      <c r="C120" t="s">
        <v>515</v>
      </c>
      <c r="D120" t="s">
        <v>3</v>
      </c>
      <c r="E120" t="s">
        <v>3</v>
      </c>
      <c r="F120" t="s">
        <v>516</v>
      </c>
      <c r="G120" t="s">
        <v>516</v>
      </c>
      <c r="H120" t="s">
        <v>533</v>
      </c>
      <c r="I120" t="s">
        <v>533</v>
      </c>
      <c r="J120" t="s">
        <v>181</v>
      </c>
      <c r="K120" t="s">
        <v>191</v>
      </c>
      <c r="L120" t="s">
        <v>519</v>
      </c>
      <c r="M120" t="s">
        <v>5</v>
      </c>
      <c r="N120" t="s">
        <v>5</v>
      </c>
      <c r="O120" t="s">
        <v>5</v>
      </c>
    </row>
    <row r="121" spans="1:15" x14ac:dyDescent="0.35">
      <c r="A121" t="s">
        <v>84</v>
      </c>
      <c r="B121" t="s">
        <v>192</v>
      </c>
      <c r="C121" t="s">
        <v>515</v>
      </c>
      <c r="D121" t="s">
        <v>3</v>
      </c>
      <c r="E121" t="s">
        <v>3</v>
      </c>
      <c r="F121" t="s">
        <v>516</v>
      </c>
      <c r="G121" t="s">
        <v>516</v>
      </c>
      <c r="H121" t="s">
        <v>520</v>
      </c>
      <c r="I121" t="s">
        <v>525</v>
      </c>
      <c r="J121" t="s">
        <v>85</v>
      </c>
      <c r="K121" t="s">
        <v>193</v>
      </c>
      <c r="L121" t="s">
        <v>519</v>
      </c>
      <c r="M121" t="s">
        <v>5</v>
      </c>
      <c r="N121" t="s">
        <v>5</v>
      </c>
      <c r="O121" t="s">
        <v>5</v>
      </c>
    </row>
    <row r="122" spans="1:15" x14ac:dyDescent="0.35">
      <c r="A122" t="s">
        <v>192</v>
      </c>
      <c r="B122" t="s">
        <v>195</v>
      </c>
      <c r="C122" t="s">
        <v>515</v>
      </c>
      <c r="D122" t="s">
        <v>3</v>
      </c>
      <c r="E122" t="s">
        <v>3</v>
      </c>
      <c r="F122" t="s">
        <v>516</v>
      </c>
      <c r="G122" t="s">
        <v>516</v>
      </c>
      <c r="H122" t="s">
        <v>525</v>
      </c>
      <c r="I122" t="s">
        <v>525</v>
      </c>
      <c r="J122" t="s">
        <v>193</v>
      </c>
      <c r="K122" t="s">
        <v>196</v>
      </c>
      <c r="L122" t="s">
        <v>519</v>
      </c>
      <c r="M122" t="s">
        <v>5</v>
      </c>
      <c r="N122" t="s">
        <v>5</v>
      </c>
      <c r="O122" t="s">
        <v>5</v>
      </c>
    </row>
    <row r="123" spans="1:15" x14ac:dyDescent="0.35">
      <c r="A123" t="s">
        <v>195</v>
      </c>
      <c r="B123" t="s">
        <v>197</v>
      </c>
      <c r="C123" t="s">
        <v>515</v>
      </c>
      <c r="D123" t="s">
        <v>3</v>
      </c>
      <c r="E123" t="s">
        <v>3</v>
      </c>
      <c r="F123" t="s">
        <v>516</v>
      </c>
      <c r="G123" t="s">
        <v>516</v>
      </c>
      <c r="H123" t="s">
        <v>525</v>
      </c>
      <c r="I123" t="s">
        <v>525</v>
      </c>
      <c r="J123" t="s">
        <v>196</v>
      </c>
      <c r="K123" t="s">
        <v>198</v>
      </c>
      <c r="L123" t="s">
        <v>519</v>
      </c>
      <c r="M123" t="s">
        <v>5</v>
      </c>
      <c r="N123" t="s">
        <v>5</v>
      </c>
      <c r="O123" t="s">
        <v>5</v>
      </c>
    </row>
    <row r="124" spans="1:15" x14ac:dyDescent="0.35">
      <c r="A124" t="s">
        <v>197</v>
      </c>
      <c r="B124" t="s">
        <v>199</v>
      </c>
      <c r="C124" t="s">
        <v>515</v>
      </c>
      <c r="D124" t="s">
        <v>3</v>
      </c>
      <c r="E124" t="s">
        <v>3</v>
      </c>
      <c r="F124" t="s">
        <v>516</v>
      </c>
      <c r="G124" t="s">
        <v>516</v>
      </c>
      <c r="H124" t="s">
        <v>525</v>
      </c>
      <c r="I124" t="s">
        <v>525</v>
      </c>
      <c r="J124" t="s">
        <v>198</v>
      </c>
      <c r="K124" t="s">
        <v>200</v>
      </c>
      <c r="L124" t="s">
        <v>519</v>
      </c>
      <c r="M124" t="s">
        <v>5</v>
      </c>
      <c r="N124" t="s">
        <v>5</v>
      </c>
      <c r="O124" t="s">
        <v>5</v>
      </c>
    </row>
    <row r="125" spans="1:15" x14ac:dyDescent="0.35">
      <c r="A125" t="s">
        <v>199</v>
      </c>
      <c r="B125" t="s">
        <v>467</v>
      </c>
      <c r="C125" t="s">
        <v>515</v>
      </c>
      <c r="D125" t="s">
        <v>3</v>
      </c>
      <c r="E125" t="s">
        <v>3</v>
      </c>
      <c r="F125" t="s">
        <v>516</v>
      </c>
      <c r="G125" t="s">
        <v>516</v>
      </c>
      <c r="H125" t="s">
        <v>525</v>
      </c>
      <c r="I125" t="s">
        <v>525</v>
      </c>
      <c r="J125" t="s">
        <v>200</v>
      </c>
      <c r="K125" t="s">
        <v>468</v>
      </c>
      <c r="L125" t="s">
        <v>519</v>
      </c>
      <c r="M125" t="s">
        <v>5</v>
      </c>
      <c r="N125" t="s">
        <v>5</v>
      </c>
      <c r="O125" t="s">
        <v>5</v>
      </c>
    </row>
    <row r="126" spans="1:15" x14ac:dyDescent="0.35">
      <c r="A126" t="s">
        <v>467</v>
      </c>
      <c r="B126" t="s">
        <v>201</v>
      </c>
      <c r="C126" t="s">
        <v>515</v>
      </c>
      <c r="D126" t="s">
        <v>3</v>
      </c>
      <c r="E126" t="s">
        <v>3</v>
      </c>
      <c r="F126" t="s">
        <v>516</v>
      </c>
      <c r="G126" t="s">
        <v>516</v>
      </c>
      <c r="H126" t="s">
        <v>525</v>
      </c>
      <c r="I126" t="s">
        <v>525</v>
      </c>
      <c r="J126" t="s">
        <v>468</v>
      </c>
      <c r="K126" t="s">
        <v>202</v>
      </c>
      <c r="L126" t="s">
        <v>519</v>
      </c>
      <c r="M126" t="s">
        <v>5</v>
      </c>
      <c r="N126" t="s">
        <v>5</v>
      </c>
      <c r="O126" t="s">
        <v>5</v>
      </c>
    </row>
    <row r="127" spans="1:15" x14ac:dyDescent="0.35">
      <c r="A127" t="s">
        <v>201</v>
      </c>
      <c r="B127" t="s">
        <v>203</v>
      </c>
      <c r="C127" t="s">
        <v>515</v>
      </c>
      <c r="D127" t="s">
        <v>3</v>
      </c>
      <c r="E127" t="s">
        <v>3</v>
      </c>
      <c r="F127" t="s">
        <v>516</v>
      </c>
      <c r="G127" t="s">
        <v>516</v>
      </c>
      <c r="H127" t="s">
        <v>525</v>
      </c>
      <c r="I127" t="s">
        <v>525</v>
      </c>
      <c r="J127" t="s">
        <v>202</v>
      </c>
      <c r="K127" t="s">
        <v>204</v>
      </c>
      <c r="L127" t="s">
        <v>519</v>
      </c>
      <c r="M127" t="s">
        <v>5</v>
      </c>
      <c r="N127" t="s">
        <v>5</v>
      </c>
      <c r="O127" t="s">
        <v>5</v>
      </c>
    </row>
    <row r="128" spans="1:15" x14ac:dyDescent="0.35">
      <c r="A128" t="s">
        <v>203</v>
      </c>
      <c r="B128" t="s">
        <v>205</v>
      </c>
      <c r="C128" t="s">
        <v>515</v>
      </c>
      <c r="D128" t="s">
        <v>3</v>
      </c>
      <c r="E128" t="s">
        <v>3</v>
      </c>
      <c r="F128" t="s">
        <v>516</v>
      </c>
      <c r="G128" t="s">
        <v>516</v>
      </c>
      <c r="H128" t="s">
        <v>525</v>
      </c>
      <c r="I128" t="s">
        <v>525</v>
      </c>
      <c r="J128" t="s">
        <v>204</v>
      </c>
      <c r="K128" t="s">
        <v>206</v>
      </c>
      <c r="L128" t="s">
        <v>519</v>
      </c>
      <c r="M128" t="s">
        <v>5</v>
      </c>
      <c r="N128" t="s">
        <v>5</v>
      </c>
      <c r="O128" t="s">
        <v>5</v>
      </c>
    </row>
    <row r="129" spans="1:15" x14ac:dyDescent="0.35">
      <c r="A129" t="s">
        <v>205</v>
      </c>
      <c r="B129" t="s">
        <v>208</v>
      </c>
      <c r="C129" t="s">
        <v>515</v>
      </c>
      <c r="D129" t="s">
        <v>3</v>
      </c>
      <c r="E129" t="s">
        <v>3</v>
      </c>
      <c r="F129" t="s">
        <v>516</v>
      </c>
      <c r="G129" t="s">
        <v>516</v>
      </c>
      <c r="H129" t="s">
        <v>525</v>
      </c>
      <c r="I129" t="s">
        <v>525</v>
      </c>
      <c r="J129" t="s">
        <v>206</v>
      </c>
      <c r="K129" t="s">
        <v>209</v>
      </c>
      <c r="L129" t="s">
        <v>519</v>
      </c>
      <c r="M129" t="s">
        <v>5</v>
      </c>
      <c r="N129" t="s">
        <v>5</v>
      </c>
      <c r="O129" t="s">
        <v>5</v>
      </c>
    </row>
    <row r="130" spans="1:15" x14ac:dyDescent="0.35">
      <c r="A130" t="s">
        <v>208</v>
      </c>
      <c r="B130" t="s">
        <v>211</v>
      </c>
      <c r="C130" t="s">
        <v>515</v>
      </c>
      <c r="D130" t="s">
        <v>3</v>
      </c>
      <c r="E130" t="s">
        <v>3</v>
      </c>
      <c r="F130" t="s">
        <v>516</v>
      </c>
      <c r="G130" t="s">
        <v>516</v>
      </c>
      <c r="H130" t="s">
        <v>525</v>
      </c>
      <c r="I130" t="s">
        <v>525</v>
      </c>
      <c r="J130" t="s">
        <v>209</v>
      </c>
      <c r="K130" t="s">
        <v>212</v>
      </c>
      <c r="L130" t="s">
        <v>519</v>
      </c>
      <c r="M130" t="s">
        <v>5</v>
      </c>
      <c r="N130" t="s">
        <v>5</v>
      </c>
      <c r="O130" t="s">
        <v>5</v>
      </c>
    </row>
    <row r="131" spans="1:15" x14ac:dyDescent="0.35">
      <c r="A131" t="s">
        <v>211</v>
      </c>
      <c r="B131" t="s">
        <v>214</v>
      </c>
      <c r="C131" t="s">
        <v>515</v>
      </c>
      <c r="D131" t="s">
        <v>3</v>
      </c>
      <c r="E131" t="s">
        <v>3</v>
      </c>
      <c r="F131" t="s">
        <v>516</v>
      </c>
      <c r="G131" t="s">
        <v>516</v>
      </c>
      <c r="H131" t="s">
        <v>525</v>
      </c>
      <c r="I131" t="s">
        <v>525</v>
      </c>
      <c r="J131" t="s">
        <v>212</v>
      </c>
      <c r="K131" t="s">
        <v>215</v>
      </c>
      <c r="L131" t="s">
        <v>519</v>
      </c>
      <c r="M131" t="s">
        <v>5</v>
      </c>
      <c r="N131" t="s">
        <v>5</v>
      </c>
      <c r="O131" t="s">
        <v>5</v>
      </c>
    </row>
    <row r="132" spans="1:15" x14ac:dyDescent="0.35">
      <c r="A132" t="s">
        <v>119</v>
      </c>
      <c r="B132" t="s">
        <v>216</v>
      </c>
      <c r="C132" t="s">
        <v>515</v>
      </c>
      <c r="D132" t="s">
        <v>3</v>
      </c>
      <c r="E132" t="s">
        <v>3</v>
      </c>
      <c r="F132" t="s">
        <v>516</v>
      </c>
      <c r="G132" t="s">
        <v>516</v>
      </c>
      <c r="H132" t="s">
        <v>521</v>
      </c>
      <c r="I132" t="s">
        <v>534</v>
      </c>
      <c r="J132" t="s">
        <v>120</v>
      </c>
      <c r="K132" t="s">
        <v>217</v>
      </c>
      <c r="L132" t="s">
        <v>519</v>
      </c>
      <c r="M132" t="s">
        <v>5</v>
      </c>
      <c r="N132" t="s">
        <v>5</v>
      </c>
      <c r="O132" t="s">
        <v>5</v>
      </c>
    </row>
    <row r="133" spans="1:15" x14ac:dyDescent="0.35">
      <c r="A133" t="s">
        <v>216</v>
      </c>
      <c r="B133" t="s">
        <v>218</v>
      </c>
      <c r="C133" t="s">
        <v>515</v>
      </c>
      <c r="D133" t="s">
        <v>3</v>
      </c>
      <c r="E133" t="s">
        <v>3</v>
      </c>
      <c r="F133" t="s">
        <v>516</v>
      </c>
      <c r="G133" t="s">
        <v>516</v>
      </c>
      <c r="H133" t="s">
        <v>534</v>
      </c>
      <c r="I133" t="s">
        <v>534</v>
      </c>
      <c r="J133" t="s">
        <v>217</v>
      </c>
      <c r="K133" t="s">
        <v>219</v>
      </c>
      <c r="L133" t="s">
        <v>519</v>
      </c>
      <c r="M133" t="s">
        <v>5</v>
      </c>
      <c r="N133" t="s">
        <v>5</v>
      </c>
      <c r="O133" t="s">
        <v>5</v>
      </c>
    </row>
    <row r="134" spans="1:15" x14ac:dyDescent="0.35">
      <c r="A134" t="s">
        <v>218</v>
      </c>
      <c r="B134" t="s">
        <v>220</v>
      </c>
      <c r="C134" t="s">
        <v>515</v>
      </c>
      <c r="D134" t="s">
        <v>3</v>
      </c>
      <c r="E134" t="s">
        <v>3</v>
      </c>
      <c r="F134" t="s">
        <v>516</v>
      </c>
      <c r="G134" t="s">
        <v>516</v>
      </c>
      <c r="H134" t="s">
        <v>534</v>
      </c>
      <c r="I134" t="s">
        <v>534</v>
      </c>
      <c r="J134" t="s">
        <v>219</v>
      </c>
      <c r="K134" t="s">
        <v>221</v>
      </c>
      <c r="L134" t="s">
        <v>519</v>
      </c>
      <c r="M134" t="s">
        <v>5</v>
      </c>
      <c r="N134" t="s">
        <v>5</v>
      </c>
      <c r="O134" t="s">
        <v>5</v>
      </c>
    </row>
    <row r="135" spans="1:15" x14ac:dyDescent="0.35">
      <c r="A135" t="s">
        <v>222</v>
      </c>
      <c r="B135" t="s">
        <v>225</v>
      </c>
      <c r="C135" t="s">
        <v>515</v>
      </c>
      <c r="D135" t="s">
        <v>3</v>
      </c>
      <c r="E135" t="s">
        <v>3</v>
      </c>
      <c r="F135" t="s">
        <v>516</v>
      </c>
      <c r="G135" t="s">
        <v>516</v>
      </c>
      <c r="H135" t="s">
        <v>534</v>
      </c>
      <c r="I135" t="s">
        <v>534</v>
      </c>
      <c r="J135" t="s">
        <v>223</v>
      </c>
      <c r="K135" t="s">
        <v>226</v>
      </c>
      <c r="L135" t="s">
        <v>519</v>
      </c>
      <c r="M135" t="s">
        <v>5</v>
      </c>
      <c r="N135" t="s">
        <v>5</v>
      </c>
      <c r="O135" t="s">
        <v>5</v>
      </c>
    </row>
    <row r="136" spans="1:15" x14ac:dyDescent="0.35">
      <c r="A136" t="s">
        <v>96</v>
      </c>
      <c r="B136" t="s">
        <v>227</v>
      </c>
      <c r="C136" t="s">
        <v>515</v>
      </c>
      <c r="D136" t="s">
        <v>3</v>
      </c>
      <c r="E136" t="s">
        <v>3</v>
      </c>
      <c r="F136" t="s">
        <v>516</v>
      </c>
      <c r="G136" t="s">
        <v>516</v>
      </c>
      <c r="H136" t="s">
        <v>520</v>
      </c>
      <c r="I136" t="s">
        <v>534</v>
      </c>
      <c r="J136" t="s">
        <v>97</v>
      </c>
      <c r="K136" t="s">
        <v>228</v>
      </c>
      <c r="L136" t="s">
        <v>519</v>
      </c>
      <c r="M136" t="s">
        <v>5</v>
      </c>
      <c r="N136" t="s">
        <v>5</v>
      </c>
      <c r="O136" t="s">
        <v>5</v>
      </c>
    </row>
    <row r="137" spans="1:15" x14ac:dyDescent="0.35">
      <c r="A137" t="s">
        <v>227</v>
      </c>
      <c r="B137" t="s">
        <v>229</v>
      </c>
      <c r="C137" t="s">
        <v>515</v>
      </c>
      <c r="D137" t="s">
        <v>3</v>
      </c>
      <c r="E137" t="s">
        <v>3</v>
      </c>
      <c r="F137" t="s">
        <v>516</v>
      </c>
      <c r="G137" t="s">
        <v>516</v>
      </c>
      <c r="H137" t="s">
        <v>534</v>
      </c>
      <c r="I137" t="s">
        <v>534</v>
      </c>
      <c r="J137" t="s">
        <v>228</v>
      </c>
      <c r="K137" t="s">
        <v>230</v>
      </c>
      <c r="L137" t="s">
        <v>519</v>
      </c>
      <c r="M137" t="s">
        <v>5</v>
      </c>
      <c r="N137" t="s">
        <v>5</v>
      </c>
      <c r="O137" t="s">
        <v>5</v>
      </c>
    </row>
    <row r="138" spans="1:15" x14ac:dyDescent="0.35">
      <c r="A138" t="s">
        <v>229</v>
      </c>
      <c r="B138" t="s">
        <v>231</v>
      </c>
      <c r="C138" t="s">
        <v>515</v>
      </c>
      <c r="D138" t="s">
        <v>3</v>
      </c>
      <c r="E138" t="s">
        <v>3</v>
      </c>
      <c r="F138" t="s">
        <v>516</v>
      </c>
      <c r="G138" t="s">
        <v>516</v>
      </c>
      <c r="H138" t="s">
        <v>534</v>
      </c>
      <c r="I138" t="s">
        <v>534</v>
      </c>
      <c r="J138" t="s">
        <v>230</v>
      </c>
      <c r="K138" t="s">
        <v>232</v>
      </c>
      <c r="L138" t="s">
        <v>519</v>
      </c>
      <c r="M138" t="s">
        <v>5</v>
      </c>
      <c r="N138" t="s">
        <v>5</v>
      </c>
      <c r="O138" t="s">
        <v>5</v>
      </c>
    </row>
    <row r="139" spans="1:15" x14ac:dyDescent="0.35">
      <c r="A139" t="s">
        <v>134</v>
      </c>
      <c r="B139" t="s">
        <v>233</v>
      </c>
      <c r="C139" t="s">
        <v>515</v>
      </c>
      <c r="D139" t="s">
        <v>3</v>
      </c>
      <c r="E139" t="s">
        <v>3</v>
      </c>
      <c r="F139" t="s">
        <v>516</v>
      </c>
      <c r="G139" t="s">
        <v>516</v>
      </c>
      <c r="H139" t="s">
        <v>522</v>
      </c>
      <c r="I139" t="s">
        <v>534</v>
      </c>
      <c r="J139" t="s">
        <v>135</v>
      </c>
      <c r="K139" t="s">
        <v>234</v>
      </c>
      <c r="L139" t="s">
        <v>519</v>
      </c>
      <c r="M139" t="s">
        <v>5</v>
      </c>
      <c r="N139" t="s">
        <v>5</v>
      </c>
      <c r="O139" t="s">
        <v>5</v>
      </c>
    </row>
    <row r="140" spans="1:15" x14ac:dyDescent="0.35">
      <c r="A140" t="s">
        <v>144</v>
      </c>
      <c r="B140" t="s">
        <v>233</v>
      </c>
      <c r="C140" t="s">
        <v>515</v>
      </c>
      <c r="D140" t="s">
        <v>3</v>
      </c>
      <c r="E140" t="s">
        <v>3</v>
      </c>
      <c r="F140" t="s">
        <v>516</v>
      </c>
      <c r="G140" t="s">
        <v>516</v>
      </c>
      <c r="H140" t="s">
        <v>523</v>
      </c>
      <c r="I140" t="s">
        <v>534</v>
      </c>
      <c r="J140" t="s">
        <v>145</v>
      </c>
      <c r="K140" t="s">
        <v>234</v>
      </c>
      <c r="L140" t="s">
        <v>519</v>
      </c>
      <c r="M140" t="s">
        <v>5</v>
      </c>
      <c r="N140" t="s">
        <v>5</v>
      </c>
      <c r="O140" t="s">
        <v>5</v>
      </c>
    </row>
    <row r="141" spans="1:15" x14ac:dyDescent="0.35">
      <c r="A141" t="s">
        <v>233</v>
      </c>
      <c r="B141" t="s">
        <v>235</v>
      </c>
      <c r="C141" t="s">
        <v>515</v>
      </c>
      <c r="D141" t="s">
        <v>3</v>
      </c>
      <c r="E141" t="s">
        <v>3</v>
      </c>
      <c r="F141" t="s">
        <v>516</v>
      </c>
      <c r="G141" t="s">
        <v>516</v>
      </c>
      <c r="H141" t="s">
        <v>534</v>
      </c>
      <c r="I141" t="s">
        <v>534</v>
      </c>
      <c r="J141" t="s">
        <v>234</v>
      </c>
      <c r="K141" t="s">
        <v>236</v>
      </c>
      <c r="L141" t="s">
        <v>519</v>
      </c>
      <c r="M141" t="s">
        <v>5</v>
      </c>
      <c r="N141" t="s">
        <v>5</v>
      </c>
      <c r="O141" t="s">
        <v>5</v>
      </c>
    </row>
    <row r="142" spans="1:15" x14ac:dyDescent="0.35">
      <c r="A142" t="s">
        <v>235</v>
      </c>
      <c r="B142" t="s">
        <v>469</v>
      </c>
      <c r="C142" t="s">
        <v>515</v>
      </c>
      <c r="D142" t="s">
        <v>3</v>
      </c>
      <c r="E142" t="s">
        <v>3</v>
      </c>
      <c r="F142" t="s">
        <v>516</v>
      </c>
      <c r="G142" t="s">
        <v>516</v>
      </c>
      <c r="H142" t="s">
        <v>534</v>
      </c>
      <c r="I142" t="s">
        <v>534</v>
      </c>
      <c r="J142" t="s">
        <v>236</v>
      </c>
      <c r="K142" t="s">
        <v>470</v>
      </c>
      <c r="L142" t="s">
        <v>519</v>
      </c>
      <c r="M142" t="s">
        <v>5</v>
      </c>
      <c r="N142" t="s">
        <v>5</v>
      </c>
      <c r="O142" t="s">
        <v>5</v>
      </c>
    </row>
    <row r="143" spans="1:15" x14ac:dyDescent="0.35">
      <c r="A143" t="s">
        <v>469</v>
      </c>
      <c r="B143" t="s">
        <v>237</v>
      </c>
      <c r="C143" t="s">
        <v>515</v>
      </c>
      <c r="D143" t="s">
        <v>3</v>
      </c>
      <c r="E143" t="s">
        <v>3</v>
      </c>
      <c r="F143" t="s">
        <v>516</v>
      </c>
      <c r="G143" t="s">
        <v>516</v>
      </c>
      <c r="H143" t="s">
        <v>534</v>
      </c>
      <c r="I143" t="s">
        <v>534</v>
      </c>
      <c r="J143" t="s">
        <v>470</v>
      </c>
      <c r="K143" t="s">
        <v>238</v>
      </c>
      <c r="L143" t="s">
        <v>519</v>
      </c>
      <c r="M143" t="s">
        <v>5</v>
      </c>
      <c r="N143" t="s">
        <v>5</v>
      </c>
      <c r="O143" t="s">
        <v>5</v>
      </c>
    </row>
    <row r="144" spans="1:15" x14ac:dyDescent="0.35">
      <c r="A144" t="s">
        <v>167</v>
      </c>
      <c r="B144" t="s">
        <v>239</v>
      </c>
      <c r="C144" t="s">
        <v>515</v>
      </c>
      <c r="D144" t="s">
        <v>3</v>
      </c>
      <c r="E144" t="s">
        <v>3</v>
      </c>
      <c r="F144" t="s">
        <v>516</v>
      </c>
      <c r="G144" t="s">
        <v>516</v>
      </c>
      <c r="H144" t="s">
        <v>524</v>
      </c>
      <c r="I144" t="s">
        <v>535</v>
      </c>
      <c r="J144" t="s">
        <v>168</v>
      </c>
      <c r="K144" t="s">
        <v>240</v>
      </c>
      <c r="L144" t="s">
        <v>519</v>
      </c>
      <c r="M144" t="s">
        <v>5</v>
      </c>
      <c r="N144" t="s">
        <v>5</v>
      </c>
      <c r="O144" t="s">
        <v>5</v>
      </c>
    </row>
    <row r="145" spans="1:15" x14ac:dyDescent="0.35">
      <c r="A145" t="s">
        <v>239</v>
      </c>
      <c r="B145" t="s">
        <v>241</v>
      </c>
      <c r="C145" t="s">
        <v>515</v>
      </c>
      <c r="D145" t="s">
        <v>3</v>
      </c>
      <c r="E145" t="s">
        <v>3</v>
      </c>
      <c r="F145" t="s">
        <v>516</v>
      </c>
      <c r="G145" t="s">
        <v>516</v>
      </c>
      <c r="H145" t="s">
        <v>535</v>
      </c>
      <c r="I145" t="s">
        <v>535</v>
      </c>
      <c r="J145" t="s">
        <v>240</v>
      </c>
      <c r="K145" t="s">
        <v>242</v>
      </c>
      <c r="L145" t="s">
        <v>519</v>
      </c>
      <c r="M145" t="s">
        <v>5</v>
      </c>
      <c r="N145" t="s">
        <v>5</v>
      </c>
      <c r="O145" t="s">
        <v>5</v>
      </c>
    </row>
    <row r="146" spans="1:15" x14ac:dyDescent="0.35">
      <c r="A146" t="s">
        <v>241</v>
      </c>
      <c r="B146" t="s">
        <v>471</v>
      </c>
      <c r="C146" t="s">
        <v>515</v>
      </c>
      <c r="D146" t="s">
        <v>3</v>
      </c>
      <c r="E146" t="s">
        <v>3</v>
      </c>
      <c r="F146" t="s">
        <v>516</v>
      </c>
      <c r="G146" t="s">
        <v>516</v>
      </c>
      <c r="H146" t="s">
        <v>535</v>
      </c>
      <c r="I146" t="s">
        <v>535</v>
      </c>
      <c r="J146" t="s">
        <v>242</v>
      </c>
      <c r="K146" t="s">
        <v>472</v>
      </c>
      <c r="L146" t="s">
        <v>519</v>
      </c>
      <c r="M146" t="s">
        <v>5</v>
      </c>
      <c r="N146" t="s">
        <v>5</v>
      </c>
      <c r="O146" t="s">
        <v>5</v>
      </c>
    </row>
    <row r="147" spans="1:15" x14ac:dyDescent="0.35">
      <c r="A147" t="s">
        <v>471</v>
      </c>
      <c r="B147" t="s">
        <v>243</v>
      </c>
      <c r="C147" t="s">
        <v>515</v>
      </c>
      <c r="D147" t="s">
        <v>3</v>
      </c>
      <c r="E147" t="s">
        <v>3</v>
      </c>
      <c r="F147" t="s">
        <v>516</v>
      </c>
      <c r="G147" t="s">
        <v>516</v>
      </c>
      <c r="H147" t="s">
        <v>535</v>
      </c>
      <c r="I147" t="s">
        <v>535</v>
      </c>
      <c r="J147" t="s">
        <v>472</v>
      </c>
      <c r="K147" t="s">
        <v>244</v>
      </c>
      <c r="L147" t="s">
        <v>519</v>
      </c>
      <c r="M147" t="s">
        <v>5</v>
      </c>
      <c r="N147" t="s">
        <v>5</v>
      </c>
      <c r="O147" t="s">
        <v>5</v>
      </c>
    </row>
    <row r="148" spans="1:15" x14ac:dyDescent="0.35">
      <c r="A148" t="s">
        <v>243</v>
      </c>
      <c r="B148" t="s">
        <v>246</v>
      </c>
      <c r="C148" t="s">
        <v>515</v>
      </c>
      <c r="D148" t="s">
        <v>3</v>
      </c>
      <c r="E148" t="s">
        <v>3</v>
      </c>
      <c r="F148" t="s">
        <v>516</v>
      </c>
      <c r="G148" t="s">
        <v>516</v>
      </c>
      <c r="H148" t="s">
        <v>535</v>
      </c>
      <c r="I148" t="s">
        <v>535</v>
      </c>
      <c r="J148" t="s">
        <v>244</v>
      </c>
      <c r="K148" t="s">
        <v>247</v>
      </c>
      <c r="L148" t="s">
        <v>519</v>
      </c>
      <c r="M148" t="s">
        <v>5</v>
      </c>
      <c r="N148" t="s">
        <v>5</v>
      </c>
      <c r="O148" t="s">
        <v>5</v>
      </c>
    </row>
    <row r="149" spans="1:15" x14ac:dyDescent="0.35">
      <c r="A149" t="s">
        <v>241</v>
      </c>
      <c r="B149" t="s">
        <v>248</v>
      </c>
      <c r="C149" t="s">
        <v>515</v>
      </c>
      <c r="D149" t="s">
        <v>3</v>
      </c>
      <c r="E149" t="s">
        <v>3</v>
      </c>
      <c r="F149" t="s">
        <v>516</v>
      </c>
      <c r="G149" t="s">
        <v>516</v>
      </c>
      <c r="H149" t="s">
        <v>535</v>
      </c>
      <c r="I149" t="s">
        <v>535</v>
      </c>
      <c r="J149" t="s">
        <v>242</v>
      </c>
      <c r="K149" t="s">
        <v>249</v>
      </c>
      <c r="L149" t="s">
        <v>519</v>
      </c>
      <c r="M149" t="s">
        <v>5</v>
      </c>
      <c r="N149" t="s">
        <v>5</v>
      </c>
      <c r="O149" t="s">
        <v>5</v>
      </c>
    </row>
    <row r="150" spans="1:15" x14ac:dyDescent="0.35">
      <c r="A150" t="s">
        <v>6</v>
      </c>
      <c r="B150" t="s">
        <v>250</v>
      </c>
      <c r="C150" t="s">
        <v>515</v>
      </c>
      <c r="D150" t="s">
        <v>3</v>
      </c>
      <c r="E150" t="s">
        <v>3</v>
      </c>
      <c r="F150" t="s">
        <v>516</v>
      </c>
      <c r="G150" t="s">
        <v>516</v>
      </c>
      <c r="H150" t="s">
        <v>518</v>
      </c>
      <c r="I150" t="s">
        <v>536</v>
      </c>
      <c r="J150" t="s">
        <v>7</v>
      </c>
      <c r="K150" t="s">
        <v>251</v>
      </c>
      <c r="L150" t="s">
        <v>519</v>
      </c>
      <c r="M150" t="s">
        <v>5</v>
      </c>
      <c r="N150" t="s">
        <v>5</v>
      </c>
      <c r="O150" t="s">
        <v>5</v>
      </c>
    </row>
    <row r="151" spans="1:15" x14ac:dyDescent="0.35">
      <c r="A151" t="s">
        <v>250</v>
      </c>
      <c r="B151" t="s">
        <v>253</v>
      </c>
      <c r="C151" t="s">
        <v>515</v>
      </c>
      <c r="D151" t="s">
        <v>3</v>
      </c>
      <c r="E151" t="s">
        <v>3</v>
      </c>
      <c r="F151" t="s">
        <v>516</v>
      </c>
      <c r="G151" t="s">
        <v>516</v>
      </c>
      <c r="H151" t="s">
        <v>536</v>
      </c>
      <c r="I151" t="s">
        <v>536</v>
      </c>
      <c r="J151" t="s">
        <v>251</v>
      </c>
      <c r="K151" t="s">
        <v>254</v>
      </c>
      <c r="L151" t="s">
        <v>519</v>
      </c>
      <c r="M151" t="s">
        <v>5</v>
      </c>
      <c r="N151" t="s">
        <v>5</v>
      </c>
      <c r="O151" t="s">
        <v>5</v>
      </c>
    </row>
    <row r="152" spans="1:15" x14ac:dyDescent="0.35">
      <c r="A152" t="s">
        <v>6</v>
      </c>
      <c r="B152" t="s">
        <v>255</v>
      </c>
      <c r="C152" t="s">
        <v>515</v>
      </c>
      <c r="D152" t="s">
        <v>3</v>
      </c>
      <c r="E152" t="s">
        <v>3</v>
      </c>
      <c r="F152" t="s">
        <v>516</v>
      </c>
      <c r="G152" t="s">
        <v>516</v>
      </c>
      <c r="H152" t="s">
        <v>518</v>
      </c>
      <c r="I152" t="s">
        <v>536</v>
      </c>
      <c r="J152" t="s">
        <v>7</v>
      </c>
      <c r="K152" t="s">
        <v>256</v>
      </c>
      <c r="L152" t="s">
        <v>519</v>
      </c>
      <c r="M152" t="s">
        <v>5</v>
      </c>
      <c r="N152" t="s">
        <v>5</v>
      </c>
      <c r="O152" t="s">
        <v>5</v>
      </c>
    </row>
    <row r="153" spans="1:15" x14ac:dyDescent="0.35">
      <c r="A153" t="s">
        <v>255</v>
      </c>
      <c r="B153" t="s">
        <v>257</v>
      </c>
      <c r="C153" t="s">
        <v>515</v>
      </c>
      <c r="D153" t="s">
        <v>3</v>
      </c>
      <c r="E153" t="s">
        <v>3</v>
      </c>
      <c r="F153" t="s">
        <v>516</v>
      </c>
      <c r="G153" t="s">
        <v>516</v>
      </c>
      <c r="H153" t="s">
        <v>536</v>
      </c>
      <c r="I153" t="s">
        <v>536</v>
      </c>
      <c r="J153" t="s">
        <v>256</v>
      </c>
      <c r="K153" t="s">
        <v>258</v>
      </c>
      <c r="L153" t="s">
        <v>519</v>
      </c>
      <c r="M153" t="s">
        <v>5</v>
      </c>
      <c r="N153" t="s">
        <v>5</v>
      </c>
      <c r="O153" t="s">
        <v>5</v>
      </c>
    </row>
    <row r="154" spans="1:15" x14ac:dyDescent="0.35">
      <c r="A154" t="s">
        <v>6</v>
      </c>
      <c r="B154" t="s">
        <v>259</v>
      </c>
      <c r="C154" t="s">
        <v>515</v>
      </c>
      <c r="D154" t="s">
        <v>3</v>
      </c>
      <c r="E154" t="s">
        <v>3</v>
      </c>
      <c r="F154" t="s">
        <v>516</v>
      </c>
      <c r="G154" t="s">
        <v>516</v>
      </c>
      <c r="H154" t="s">
        <v>518</v>
      </c>
      <c r="I154" t="s">
        <v>536</v>
      </c>
      <c r="J154" t="s">
        <v>7</v>
      </c>
      <c r="K154" t="s">
        <v>260</v>
      </c>
      <c r="L154" t="s">
        <v>519</v>
      </c>
      <c r="M154" t="s">
        <v>5</v>
      </c>
      <c r="N154" t="s">
        <v>5</v>
      </c>
      <c r="O154" t="s">
        <v>5</v>
      </c>
    </row>
    <row r="155" spans="1:15" x14ac:dyDescent="0.35">
      <c r="A155" t="s">
        <v>259</v>
      </c>
      <c r="B155" t="s">
        <v>261</v>
      </c>
      <c r="C155" t="s">
        <v>515</v>
      </c>
      <c r="D155" t="s">
        <v>3</v>
      </c>
      <c r="E155" t="s">
        <v>3</v>
      </c>
      <c r="F155" t="s">
        <v>516</v>
      </c>
      <c r="G155" t="s">
        <v>516</v>
      </c>
      <c r="H155" t="s">
        <v>536</v>
      </c>
      <c r="I155" t="s">
        <v>536</v>
      </c>
      <c r="J155" t="s">
        <v>260</v>
      </c>
      <c r="K155" t="s">
        <v>262</v>
      </c>
      <c r="L155" t="s">
        <v>519</v>
      </c>
      <c r="M155" t="s">
        <v>5</v>
      </c>
      <c r="N155" t="s">
        <v>5</v>
      </c>
      <c r="O155" t="s">
        <v>5</v>
      </c>
    </row>
    <row r="156" spans="1:15" x14ac:dyDescent="0.35">
      <c r="A156" t="s">
        <v>6</v>
      </c>
      <c r="B156" t="s">
        <v>263</v>
      </c>
      <c r="C156" t="s">
        <v>515</v>
      </c>
      <c r="D156" t="s">
        <v>3</v>
      </c>
      <c r="E156" t="s">
        <v>3</v>
      </c>
      <c r="F156" t="s">
        <v>516</v>
      </c>
      <c r="G156" t="s">
        <v>516</v>
      </c>
      <c r="H156" t="s">
        <v>518</v>
      </c>
      <c r="I156" t="s">
        <v>536</v>
      </c>
      <c r="J156" t="s">
        <v>7</v>
      </c>
      <c r="K156" t="s">
        <v>264</v>
      </c>
      <c r="L156" t="s">
        <v>519</v>
      </c>
      <c r="M156" t="s">
        <v>5</v>
      </c>
      <c r="N156" t="s">
        <v>5</v>
      </c>
      <c r="O156" t="s">
        <v>5</v>
      </c>
    </row>
    <row r="157" spans="1:15" x14ac:dyDescent="0.35">
      <c r="A157" t="s">
        <v>188</v>
      </c>
      <c r="B157" t="s">
        <v>263</v>
      </c>
      <c r="C157" t="s">
        <v>515</v>
      </c>
      <c r="D157" t="s">
        <v>3</v>
      </c>
      <c r="E157" t="s">
        <v>3</v>
      </c>
      <c r="F157" t="s">
        <v>516</v>
      </c>
      <c r="G157" t="s">
        <v>516</v>
      </c>
      <c r="H157" t="s">
        <v>533</v>
      </c>
      <c r="I157" t="s">
        <v>536</v>
      </c>
      <c r="J157" t="s">
        <v>189</v>
      </c>
      <c r="K157" t="s">
        <v>264</v>
      </c>
      <c r="L157" t="s">
        <v>519</v>
      </c>
      <c r="M157" t="s">
        <v>5</v>
      </c>
      <c r="N157" t="s">
        <v>5</v>
      </c>
      <c r="O157" t="s">
        <v>5</v>
      </c>
    </row>
    <row r="158" spans="1:15" x14ac:dyDescent="0.35">
      <c r="A158" t="s">
        <v>263</v>
      </c>
      <c r="B158" t="s">
        <v>265</v>
      </c>
      <c r="C158" t="s">
        <v>515</v>
      </c>
      <c r="D158" t="s">
        <v>3</v>
      </c>
      <c r="E158" t="s">
        <v>3</v>
      </c>
      <c r="F158" t="s">
        <v>516</v>
      </c>
      <c r="G158" t="s">
        <v>516</v>
      </c>
      <c r="H158" t="s">
        <v>536</v>
      </c>
      <c r="I158" t="s">
        <v>536</v>
      </c>
      <c r="J158" t="s">
        <v>264</v>
      </c>
      <c r="K158" t="s">
        <v>266</v>
      </c>
      <c r="L158" t="s">
        <v>519</v>
      </c>
      <c r="M158" t="s">
        <v>5</v>
      </c>
      <c r="N158" t="s">
        <v>5</v>
      </c>
      <c r="O158" t="s">
        <v>5</v>
      </c>
    </row>
    <row r="159" spans="1:15" x14ac:dyDescent="0.35">
      <c r="A159" t="s">
        <v>253</v>
      </c>
      <c r="B159" t="s">
        <v>267</v>
      </c>
      <c r="C159" t="s">
        <v>515</v>
      </c>
      <c r="D159" t="s">
        <v>3</v>
      </c>
      <c r="E159" t="s">
        <v>3</v>
      </c>
      <c r="F159" t="s">
        <v>516</v>
      </c>
      <c r="G159" t="s">
        <v>516</v>
      </c>
      <c r="H159" t="s">
        <v>536</v>
      </c>
      <c r="I159" t="s">
        <v>537</v>
      </c>
      <c r="J159" t="s">
        <v>254</v>
      </c>
      <c r="K159" t="s">
        <v>268</v>
      </c>
      <c r="L159" t="s">
        <v>519</v>
      </c>
      <c r="M159" t="s">
        <v>5</v>
      </c>
      <c r="N159" t="s">
        <v>5</v>
      </c>
      <c r="O159" t="s">
        <v>5</v>
      </c>
    </row>
    <row r="160" spans="1:15" x14ac:dyDescent="0.35">
      <c r="A160" t="s">
        <v>267</v>
      </c>
      <c r="B160" t="s">
        <v>270</v>
      </c>
      <c r="C160" t="s">
        <v>515</v>
      </c>
      <c r="D160" t="s">
        <v>3</v>
      </c>
      <c r="E160" t="s">
        <v>3</v>
      </c>
      <c r="F160" t="s">
        <v>516</v>
      </c>
      <c r="G160" t="s">
        <v>516</v>
      </c>
      <c r="H160" t="s">
        <v>537</v>
      </c>
      <c r="I160" t="s">
        <v>537</v>
      </c>
      <c r="J160" t="s">
        <v>268</v>
      </c>
      <c r="K160" t="s">
        <v>271</v>
      </c>
      <c r="L160" t="s">
        <v>519</v>
      </c>
      <c r="M160" t="s">
        <v>5</v>
      </c>
      <c r="N160" t="s">
        <v>5</v>
      </c>
      <c r="O160" t="s">
        <v>5</v>
      </c>
    </row>
    <row r="161" spans="1:15" x14ac:dyDescent="0.35">
      <c r="A161" t="s">
        <v>267</v>
      </c>
      <c r="B161" t="s">
        <v>272</v>
      </c>
      <c r="C161" t="s">
        <v>515</v>
      </c>
      <c r="D161" t="s">
        <v>3</v>
      </c>
      <c r="E161" t="s">
        <v>3</v>
      </c>
      <c r="F161" t="s">
        <v>516</v>
      </c>
      <c r="G161" t="s">
        <v>516</v>
      </c>
      <c r="H161" t="s">
        <v>537</v>
      </c>
      <c r="I161" t="s">
        <v>537</v>
      </c>
      <c r="J161" t="s">
        <v>268</v>
      </c>
      <c r="K161" t="s">
        <v>273</v>
      </c>
      <c r="L161" t="s">
        <v>519</v>
      </c>
      <c r="M161" t="s">
        <v>5</v>
      </c>
      <c r="N161" t="s">
        <v>5</v>
      </c>
      <c r="O161" t="s">
        <v>5</v>
      </c>
    </row>
    <row r="162" spans="1:15" x14ac:dyDescent="0.35">
      <c r="A162" t="s">
        <v>272</v>
      </c>
      <c r="B162" t="s">
        <v>274</v>
      </c>
      <c r="C162" t="s">
        <v>515</v>
      </c>
      <c r="D162" t="s">
        <v>3</v>
      </c>
      <c r="E162" t="s">
        <v>3</v>
      </c>
      <c r="F162" t="s">
        <v>516</v>
      </c>
      <c r="G162" t="s">
        <v>516</v>
      </c>
      <c r="H162" t="s">
        <v>537</v>
      </c>
      <c r="I162" t="s">
        <v>537</v>
      </c>
      <c r="J162" t="s">
        <v>273</v>
      </c>
      <c r="K162" t="s">
        <v>275</v>
      </c>
      <c r="L162" t="s">
        <v>519</v>
      </c>
      <c r="M162" t="s">
        <v>5</v>
      </c>
      <c r="N162" t="s">
        <v>5</v>
      </c>
      <c r="O162" t="s">
        <v>5</v>
      </c>
    </row>
    <row r="163" spans="1:15" x14ac:dyDescent="0.35">
      <c r="A163" t="s">
        <v>274</v>
      </c>
      <c r="B163" t="s">
        <v>276</v>
      </c>
      <c r="C163" t="s">
        <v>515</v>
      </c>
      <c r="D163" t="s">
        <v>3</v>
      </c>
      <c r="E163" t="s">
        <v>3</v>
      </c>
      <c r="F163" t="s">
        <v>516</v>
      </c>
      <c r="G163" t="s">
        <v>516</v>
      </c>
      <c r="H163" t="s">
        <v>537</v>
      </c>
      <c r="I163" t="s">
        <v>538</v>
      </c>
      <c r="J163" t="s">
        <v>275</v>
      </c>
      <c r="K163" t="s">
        <v>277</v>
      </c>
      <c r="L163" t="s">
        <v>519</v>
      </c>
      <c r="M163" t="s">
        <v>5</v>
      </c>
      <c r="N163" t="s">
        <v>5</v>
      </c>
      <c r="O163" t="s">
        <v>5</v>
      </c>
    </row>
    <row r="164" spans="1:15" x14ac:dyDescent="0.35">
      <c r="A164" t="s">
        <v>276</v>
      </c>
      <c r="B164" t="s">
        <v>279</v>
      </c>
      <c r="C164" t="s">
        <v>515</v>
      </c>
      <c r="D164" t="s">
        <v>3</v>
      </c>
      <c r="E164" t="s">
        <v>3</v>
      </c>
      <c r="F164" t="s">
        <v>516</v>
      </c>
      <c r="G164" t="s">
        <v>516</v>
      </c>
      <c r="H164" t="s">
        <v>538</v>
      </c>
      <c r="I164" t="s">
        <v>538</v>
      </c>
      <c r="J164" t="s">
        <v>277</v>
      </c>
      <c r="K164" t="s">
        <v>280</v>
      </c>
      <c r="L164" t="s">
        <v>519</v>
      </c>
      <c r="M164" t="s">
        <v>5</v>
      </c>
      <c r="N164" t="s">
        <v>5</v>
      </c>
      <c r="O164" t="s">
        <v>5</v>
      </c>
    </row>
    <row r="165" spans="1:15" x14ac:dyDescent="0.35">
      <c r="A165" t="s">
        <v>276</v>
      </c>
      <c r="B165" t="s">
        <v>281</v>
      </c>
      <c r="C165" t="s">
        <v>515</v>
      </c>
      <c r="D165" t="s">
        <v>3</v>
      </c>
      <c r="E165" t="s">
        <v>3</v>
      </c>
      <c r="F165" t="s">
        <v>516</v>
      </c>
      <c r="G165" t="s">
        <v>516</v>
      </c>
      <c r="H165" t="s">
        <v>538</v>
      </c>
      <c r="I165" t="s">
        <v>538</v>
      </c>
      <c r="J165" t="s">
        <v>277</v>
      </c>
      <c r="K165" t="s">
        <v>282</v>
      </c>
      <c r="L165" t="s">
        <v>519</v>
      </c>
      <c r="M165" t="s">
        <v>5</v>
      </c>
      <c r="N165" t="s">
        <v>5</v>
      </c>
      <c r="O165" t="s">
        <v>5</v>
      </c>
    </row>
    <row r="166" spans="1:15" x14ac:dyDescent="0.35">
      <c r="A166" t="s">
        <v>281</v>
      </c>
      <c r="B166" t="s">
        <v>283</v>
      </c>
      <c r="C166" t="s">
        <v>515</v>
      </c>
      <c r="D166" t="s">
        <v>3</v>
      </c>
      <c r="E166" t="s">
        <v>3</v>
      </c>
      <c r="F166" t="s">
        <v>516</v>
      </c>
      <c r="G166" t="s">
        <v>516</v>
      </c>
      <c r="H166" t="s">
        <v>538</v>
      </c>
      <c r="I166" t="s">
        <v>538</v>
      </c>
      <c r="J166" t="s">
        <v>282</v>
      </c>
      <c r="K166" t="s">
        <v>284</v>
      </c>
      <c r="L166" t="s">
        <v>519</v>
      </c>
      <c r="M166" t="s">
        <v>5</v>
      </c>
      <c r="N166" t="s">
        <v>5</v>
      </c>
      <c r="O166" t="s">
        <v>5</v>
      </c>
    </row>
    <row r="167" spans="1:15" x14ac:dyDescent="0.35">
      <c r="A167" t="s">
        <v>283</v>
      </c>
      <c r="B167" t="s">
        <v>285</v>
      </c>
      <c r="C167" t="s">
        <v>515</v>
      </c>
      <c r="D167" t="s">
        <v>3</v>
      </c>
      <c r="E167" t="s">
        <v>3</v>
      </c>
      <c r="F167" t="s">
        <v>516</v>
      </c>
      <c r="G167" t="s">
        <v>516</v>
      </c>
      <c r="H167" t="s">
        <v>538</v>
      </c>
      <c r="I167" t="s">
        <v>538</v>
      </c>
      <c r="J167" t="s">
        <v>284</v>
      </c>
      <c r="K167" t="s">
        <v>286</v>
      </c>
      <c r="L167" t="s">
        <v>519</v>
      </c>
      <c r="M167" t="s">
        <v>5</v>
      </c>
      <c r="N167" t="s">
        <v>5</v>
      </c>
      <c r="O167" t="s">
        <v>5</v>
      </c>
    </row>
    <row r="168" spans="1:15" x14ac:dyDescent="0.35">
      <c r="A168" t="s">
        <v>285</v>
      </c>
      <c r="B168" t="s">
        <v>287</v>
      </c>
      <c r="C168" t="s">
        <v>515</v>
      </c>
      <c r="D168" t="s">
        <v>3</v>
      </c>
      <c r="E168" t="s">
        <v>3</v>
      </c>
      <c r="F168" t="s">
        <v>516</v>
      </c>
      <c r="G168" t="s">
        <v>516</v>
      </c>
      <c r="H168" t="s">
        <v>538</v>
      </c>
      <c r="I168" t="s">
        <v>538</v>
      </c>
      <c r="J168" t="s">
        <v>286</v>
      </c>
      <c r="K168" t="s">
        <v>288</v>
      </c>
      <c r="L168" t="s">
        <v>519</v>
      </c>
      <c r="M168" t="s">
        <v>5</v>
      </c>
      <c r="N168" t="s">
        <v>5</v>
      </c>
      <c r="O168" t="s">
        <v>5</v>
      </c>
    </row>
    <row r="169" spans="1:15" x14ac:dyDescent="0.35">
      <c r="A169" t="s">
        <v>287</v>
      </c>
      <c r="B169" t="s">
        <v>289</v>
      </c>
      <c r="C169" t="s">
        <v>515</v>
      </c>
      <c r="D169" t="s">
        <v>3</v>
      </c>
      <c r="E169" t="s">
        <v>3</v>
      </c>
      <c r="F169" t="s">
        <v>516</v>
      </c>
      <c r="G169" t="s">
        <v>516</v>
      </c>
      <c r="H169" t="s">
        <v>538</v>
      </c>
      <c r="I169" t="s">
        <v>539</v>
      </c>
      <c r="J169" t="s">
        <v>288</v>
      </c>
      <c r="K169" t="s">
        <v>290</v>
      </c>
      <c r="L169" t="s">
        <v>519</v>
      </c>
      <c r="M169" t="s">
        <v>5</v>
      </c>
      <c r="N169" t="s">
        <v>5</v>
      </c>
      <c r="O169" t="s">
        <v>5</v>
      </c>
    </row>
    <row r="170" spans="1:15" x14ac:dyDescent="0.35">
      <c r="A170" t="s">
        <v>225</v>
      </c>
      <c r="B170" t="s">
        <v>289</v>
      </c>
      <c r="C170" t="s">
        <v>515</v>
      </c>
      <c r="D170" t="s">
        <v>3</v>
      </c>
      <c r="E170" t="s">
        <v>3</v>
      </c>
      <c r="F170" t="s">
        <v>516</v>
      </c>
      <c r="G170" t="s">
        <v>516</v>
      </c>
      <c r="H170" t="s">
        <v>534</v>
      </c>
      <c r="I170" t="s">
        <v>539</v>
      </c>
      <c r="J170" t="s">
        <v>226</v>
      </c>
      <c r="K170" t="s">
        <v>290</v>
      </c>
      <c r="L170" t="s">
        <v>519</v>
      </c>
      <c r="M170" t="s">
        <v>5</v>
      </c>
      <c r="N170" t="s">
        <v>5</v>
      </c>
      <c r="O170" t="s">
        <v>5</v>
      </c>
    </row>
    <row r="171" spans="1:15" x14ac:dyDescent="0.35">
      <c r="A171" t="s">
        <v>289</v>
      </c>
      <c r="B171" t="s">
        <v>292</v>
      </c>
      <c r="C171" t="s">
        <v>515</v>
      </c>
      <c r="D171" t="s">
        <v>3</v>
      </c>
      <c r="E171" t="s">
        <v>3</v>
      </c>
      <c r="F171" t="s">
        <v>516</v>
      </c>
      <c r="G171" t="s">
        <v>516</v>
      </c>
      <c r="H171" t="s">
        <v>539</v>
      </c>
      <c r="I171" t="s">
        <v>539</v>
      </c>
      <c r="J171" t="s">
        <v>290</v>
      </c>
      <c r="K171" t="s">
        <v>293</v>
      </c>
      <c r="L171" t="s">
        <v>519</v>
      </c>
      <c r="M171" t="s">
        <v>5</v>
      </c>
      <c r="N171" t="s">
        <v>5</v>
      </c>
      <c r="O171" t="s">
        <v>5</v>
      </c>
    </row>
    <row r="172" spans="1:15" x14ac:dyDescent="0.35">
      <c r="A172" t="s">
        <v>292</v>
      </c>
      <c r="B172" t="s">
        <v>294</v>
      </c>
      <c r="C172" t="s">
        <v>515</v>
      </c>
      <c r="D172" t="s">
        <v>3</v>
      </c>
      <c r="E172" t="s">
        <v>3</v>
      </c>
      <c r="F172" t="s">
        <v>516</v>
      </c>
      <c r="G172" t="s">
        <v>516</v>
      </c>
      <c r="H172" t="s">
        <v>539</v>
      </c>
      <c r="I172" t="s">
        <v>539</v>
      </c>
      <c r="J172" t="s">
        <v>293</v>
      </c>
      <c r="K172" t="s">
        <v>295</v>
      </c>
      <c r="L172" t="s">
        <v>519</v>
      </c>
      <c r="M172" t="s">
        <v>5</v>
      </c>
      <c r="N172" t="s">
        <v>5</v>
      </c>
      <c r="O172" t="s">
        <v>5</v>
      </c>
    </row>
    <row r="173" spans="1:15" x14ac:dyDescent="0.35">
      <c r="A173" t="s">
        <v>292</v>
      </c>
      <c r="B173" t="s">
        <v>296</v>
      </c>
      <c r="C173" t="s">
        <v>515</v>
      </c>
      <c r="D173" t="s">
        <v>3</v>
      </c>
      <c r="E173" t="s">
        <v>3</v>
      </c>
      <c r="F173" t="s">
        <v>516</v>
      </c>
      <c r="G173" t="s">
        <v>516</v>
      </c>
      <c r="H173" t="s">
        <v>539</v>
      </c>
      <c r="I173" t="s">
        <v>539</v>
      </c>
      <c r="J173" t="s">
        <v>293</v>
      </c>
      <c r="K173" t="s">
        <v>297</v>
      </c>
      <c r="L173" t="s">
        <v>519</v>
      </c>
      <c r="M173" t="s">
        <v>5</v>
      </c>
      <c r="N173" t="s">
        <v>5</v>
      </c>
      <c r="O173" t="s">
        <v>5</v>
      </c>
    </row>
    <row r="174" spans="1:15" x14ac:dyDescent="0.35">
      <c r="A174" t="s">
        <v>8</v>
      </c>
      <c r="B174" t="s">
        <v>298</v>
      </c>
      <c r="C174" t="s">
        <v>515</v>
      </c>
      <c r="D174" t="s">
        <v>3</v>
      </c>
      <c r="E174" t="s">
        <v>3</v>
      </c>
      <c r="F174" t="s">
        <v>516</v>
      </c>
      <c r="G174" t="s">
        <v>516</v>
      </c>
      <c r="H174" t="s">
        <v>518</v>
      </c>
      <c r="I174" t="s">
        <v>540</v>
      </c>
      <c r="J174" t="s">
        <v>9</v>
      </c>
      <c r="K174" t="s">
        <v>299</v>
      </c>
      <c r="L174" t="s">
        <v>519</v>
      </c>
      <c r="M174" t="s">
        <v>5</v>
      </c>
      <c r="N174" t="s">
        <v>5</v>
      </c>
      <c r="O174" t="s">
        <v>5</v>
      </c>
    </row>
    <row r="175" spans="1:15" x14ac:dyDescent="0.35">
      <c r="A175" t="s">
        <v>296</v>
      </c>
      <c r="B175" t="s">
        <v>301</v>
      </c>
      <c r="C175" t="s">
        <v>515</v>
      </c>
      <c r="D175" t="s">
        <v>3</v>
      </c>
      <c r="E175" t="s">
        <v>3</v>
      </c>
      <c r="F175" t="s">
        <v>516</v>
      </c>
      <c r="G175" t="s">
        <v>516</v>
      </c>
      <c r="H175" t="s">
        <v>539</v>
      </c>
      <c r="I175" t="s">
        <v>540</v>
      </c>
      <c r="J175" t="s">
        <v>297</v>
      </c>
      <c r="K175" t="s">
        <v>302</v>
      </c>
      <c r="L175" t="s">
        <v>519</v>
      </c>
      <c r="M175" t="s">
        <v>5</v>
      </c>
      <c r="N175" t="s">
        <v>5</v>
      </c>
      <c r="O175" t="s">
        <v>5</v>
      </c>
    </row>
    <row r="176" spans="1:15" x14ac:dyDescent="0.35">
      <c r="A176" t="s">
        <v>296</v>
      </c>
      <c r="B176" t="s">
        <v>304</v>
      </c>
      <c r="C176" t="s">
        <v>515</v>
      </c>
      <c r="D176" t="s">
        <v>3</v>
      </c>
      <c r="E176" t="s">
        <v>3</v>
      </c>
      <c r="F176" t="s">
        <v>516</v>
      </c>
      <c r="G176" t="s">
        <v>516</v>
      </c>
      <c r="H176" t="s">
        <v>539</v>
      </c>
      <c r="I176" t="s">
        <v>540</v>
      </c>
      <c r="J176" t="s">
        <v>297</v>
      </c>
      <c r="K176" t="s">
        <v>305</v>
      </c>
      <c r="L176" t="s">
        <v>519</v>
      </c>
      <c r="M176" t="s">
        <v>5</v>
      </c>
      <c r="N176" t="s">
        <v>5</v>
      </c>
      <c r="O176" t="s">
        <v>5</v>
      </c>
    </row>
    <row r="177" spans="1:15" x14ac:dyDescent="0.35">
      <c r="A177" t="s">
        <v>296</v>
      </c>
      <c r="B177" t="s">
        <v>306</v>
      </c>
      <c r="C177" t="s">
        <v>515</v>
      </c>
      <c r="D177" t="s">
        <v>3</v>
      </c>
      <c r="E177" t="s">
        <v>3</v>
      </c>
      <c r="F177" t="s">
        <v>516</v>
      </c>
      <c r="G177" t="s">
        <v>516</v>
      </c>
      <c r="H177" t="s">
        <v>539</v>
      </c>
      <c r="I177" t="s">
        <v>540</v>
      </c>
      <c r="J177" t="s">
        <v>297</v>
      </c>
      <c r="K177" t="s">
        <v>307</v>
      </c>
      <c r="L177" t="s">
        <v>519</v>
      </c>
      <c r="M177" t="s">
        <v>5</v>
      </c>
      <c r="N177" t="s">
        <v>5</v>
      </c>
      <c r="O177" t="s">
        <v>5</v>
      </c>
    </row>
    <row r="178" spans="1:15" x14ac:dyDescent="0.35">
      <c r="A178" t="s">
        <v>8</v>
      </c>
      <c r="B178" t="s">
        <v>306</v>
      </c>
      <c r="C178" t="s">
        <v>515</v>
      </c>
      <c r="D178" t="s">
        <v>3</v>
      </c>
      <c r="E178" t="s">
        <v>3</v>
      </c>
      <c r="F178" t="s">
        <v>516</v>
      </c>
      <c r="G178" t="s">
        <v>516</v>
      </c>
      <c r="H178" t="s">
        <v>518</v>
      </c>
      <c r="I178" t="s">
        <v>540</v>
      </c>
      <c r="J178" t="s">
        <v>9</v>
      </c>
      <c r="K178" t="s">
        <v>307</v>
      </c>
      <c r="L178" t="s">
        <v>519</v>
      </c>
      <c r="M178" t="s">
        <v>5</v>
      </c>
      <c r="N178" t="s">
        <v>5</v>
      </c>
      <c r="O178" t="s">
        <v>5</v>
      </c>
    </row>
    <row r="179" spans="1:15" x14ac:dyDescent="0.35">
      <c r="A179" t="s">
        <v>306</v>
      </c>
      <c r="B179" t="s">
        <v>308</v>
      </c>
      <c r="C179" t="s">
        <v>515</v>
      </c>
      <c r="D179" t="s">
        <v>3</v>
      </c>
      <c r="E179" t="s">
        <v>3</v>
      </c>
      <c r="F179" t="s">
        <v>516</v>
      </c>
      <c r="G179" t="s">
        <v>516</v>
      </c>
      <c r="H179" t="s">
        <v>540</v>
      </c>
      <c r="I179" t="s">
        <v>540</v>
      </c>
      <c r="J179" t="s">
        <v>307</v>
      </c>
      <c r="K179" t="s">
        <v>309</v>
      </c>
      <c r="L179" t="s">
        <v>519</v>
      </c>
      <c r="M179" t="s">
        <v>5</v>
      </c>
      <c r="N179" t="s">
        <v>5</v>
      </c>
      <c r="O179" t="s">
        <v>5</v>
      </c>
    </row>
    <row r="180" spans="1:15" x14ac:dyDescent="0.35">
      <c r="A180" t="s">
        <v>231</v>
      </c>
      <c r="B180" t="s">
        <v>308</v>
      </c>
      <c r="C180" t="s">
        <v>515</v>
      </c>
      <c r="D180" t="s">
        <v>3</v>
      </c>
      <c r="E180" t="s">
        <v>3</v>
      </c>
      <c r="F180" t="s">
        <v>516</v>
      </c>
      <c r="G180" t="s">
        <v>516</v>
      </c>
      <c r="H180" t="s">
        <v>534</v>
      </c>
      <c r="I180" t="s">
        <v>540</v>
      </c>
      <c r="J180" t="s">
        <v>232</v>
      </c>
      <c r="K180" t="s">
        <v>309</v>
      </c>
      <c r="L180" t="s">
        <v>519</v>
      </c>
      <c r="M180" t="s">
        <v>5</v>
      </c>
      <c r="N180" t="s">
        <v>5</v>
      </c>
      <c r="O180" t="s">
        <v>5</v>
      </c>
    </row>
    <row r="181" spans="1:15" x14ac:dyDescent="0.35">
      <c r="A181" t="s">
        <v>296</v>
      </c>
      <c r="B181" t="s">
        <v>311</v>
      </c>
      <c r="C181" t="s">
        <v>515</v>
      </c>
      <c r="D181" t="s">
        <v>3</v>
      </c>
      <c r="E181" t="s">
        <v>3</v>
      </c>
      <c r="F181" t="s">
        <v>516</v>
      </c>
      <c r="G181" t="s">
        <v>516</v>
      </c>
      <c r="H181" t="s">
        <v>539</v>
      </c>
      <c r="I181" t="s">
        <v>540</v>
      </c>
      <c r="J181" t="s">
        <v>297</v>
      </c>
      <c r="K181" t="s">
        <v>312</v>
      </c>
      <c r="L181" t="s">
        <v>519</v>
      </c>
      <c r="M181" t="s">
        <v>5</v>
      </c>
      <c r="N181" t="s">
        <v>5</v>
      </c>
      <c r="O181" t="s">
        <v>5</v>
      </c>
    </row>
    <row r="182" spans="1:15" x14ac:dyDescent="0.35">
      <c r="A182" t="s">
        <v>231</v>
      </c>
      <c r="B182" t="s">
        <v>311</v>
      </c>
      <c r="C182" t="s">
        <v>515</v>
      </c>
      <c r="D182" t="s">
        <v>3</v>
      </c>
      <c r="E182" t="s">
        <v>3</v>
      </c>
      <c r="F182" t="s">
        <v>516</v>
      </c>
      <c r="G182" t="s">
        <v>516</v>
      </c>
      <c r="H182" t="s">
        <v>534</v>
      </c>
      <c r="I182" t="s">
        <v>540</v>
      </c>
      <c r="J182" t="s">
        <v>232</v>
      </c>
      <c r="K182" t="s">
        <v>312</v>
      </c>
      <c r="L182" t="s">
        <v>519</v>
      </c>
      <c r="M182" t="s">
        <v>5</v>
      </c>
      <c r="N182" t="s">
        <v>5</v>
      </c>
      <c r="O182" t="s">
        <v>5</v>
      </c>
    </row>
    <row r="183" spans="1:15" x14ac:dyDescent="0.35">
      <c r="A183" t="s">
        <v>296</v>
      </c>
      <c r="B183" t="s">
        <v>313</v>
      </c>
      <c r="C183" t="s">
        <v>515</v>
      </c>
      <c r="D183" t="s">
        <v>3</v>
      </c>
      <c r="E183" t="s">
        <v>3</v>
      </c>
      <c r="F183" t="s">
        <v>516</v>
      </c>
      <c r="G183" t="s">
        <v>516</v>
      </c>
      <c r="H183" t="s">
        <v>539</v>
      </c>
      <c r="I183" t="s">
        <v>540</v>
      </c>
      <c r="J183" t="s">
        <v>297</v>
      </c>
      <c r="K183" t="s">
        <v>314</v>
      </c>
      <c r="L183" t="s">
        <v>519</v>
      </c>
      <c r="M183" t="s">
        <v>5</v>
      </c>
      <c r="N183" t="s">
        <v>5</v>
      </c>
      <c r="O183" t="s">
        <v>5</v>
      </c>
    </row>
    <row r="184" spans="1:15" x14ac:dyDescent="0.35">
      <c r="A184" t="s">
        <v>231</v>
      </c>
      <c r="B184" t="s">
        <v>313</v>
      </c>
      <c r="C184" t="s">
        <v>515</v>
      </c>
      <c r="D184" t="s">
        <v>3</v>
      </c>
      <c r="E184" t="s">
        <v>3</v>
      </c>
      <c r="F184" t="s">
        <v>516</v>
      </c>
      <c r="G184" t="s">
        <v>516</v>
      </c>
      <c r="H184" t="s">
        <v>534</v>
      </c>
      <c r="I184" t="s">
        <v>540</v>
      </c>
      <c r="J184" t="s">
        <v>232</v>
      </c>
      <c r="K184" t="s">
        <v>314</v>
      </c>
      <c r="L184" t="s">
        <v>519</v>
      </c>
      <c r="M184" t="s">
        <v>5</v>
      </c>
      <c r="N184" t="s">
        <v>5</v>
      </c>
      <c r="O184" t="s">
        <v>5</v>
      </c>
    </row>
    <row r="185" spans="1:15" x14ac:dyDescent="0.35">
      <c r="A185" t="s">
        <v>311</v>
      </c>
      <c r="B185" t="s">
        <v>315</v>
      </c>
      <c r="C185" t="s">
        <v>515</v>
      </c>
      <c r="D185" t="s">
        <v>3</v>
      </c>
      <c r="E185" t="s">
        <v>3</v>
      </c>
      <c r="F185" t="s">
        <v>516</v>
      </c>
      <c r="G185" t="s">
        <v>516</v>
      </c>
      <c r="H185" t="s">
        <v>540</v>
      </c>
      <c r="I185" t="s">
        <v>540</v>
      </c>
      <c r="J185" t="s">
        <v>312</v>
      </c>
      <c r="K185" t="s">
        <v>316</v>
      </c>
      <c r="L185" t="s">
        <v>519</v>
      </c>
      <c r="M185" t="s">
        <v>5</v>
      </c>
      <c r="N185" t="s">
        <v>5</v>
      </c>
      <c r="O185" t="s">
        <v>5</v>
      </c>
    </row>
    <row r="186" spans="1:15" x14ac:dyDescent="0.35">
      <c r="A186" t="s">
        <v>313</v>
      </c>
      <c r="B186" t="s">
        <v>315</v>
      </c>
      <c r="C186" t="s">
        <v>515</v>
      </c>
      <c r="D186" t="s">
        <v>3</v>
      </c>
      <c r="E186" t="s">
        <v>3</v>
      </c>
      <c r="F186" t="s">
        <v>516</v>
      </c>
      <c r="G186" t="s">
        <v>516</v>
      </c>
      <c r="H186" t="s">
        <v>540</v>
      </c>
      <c r="I186" t="s">
        <v>540</v>
      </c>
      <c r="J186" t="s">
        <v>314</v>
      </c>
      <c r="K186" t="s">
        <v>316</v>
      </c>
      <c r="L186" t="s">
        <v>519</v>
      </c>
      <c r="M186" t="s">
        <v>5</v>
      </c>
      <c r="N186" t="s">
        <v>5</v>
      </c>
      <c r="O186" t="s">
        <v>5</v>
      </c>
    </row>
    <row r="187" spans="1:15" x14ac:dyDescent="0.35">
      <c r="A187" t="s">
        <v>315</v>
      </c>
      <c r="B187" t="s">
        <v>317</v>
      </c>
      <c r="C187" t="s">
        <v>515</v>
      </c>
      <c r="D187" t="s">
        <v>3</v>
      </c>
      <c r="E187" t="s">
        <v>11</v>
      </c>
      <c r="F187" t="s">
        <v>516</v>
      </c>
      <c r="G187" t="s">
        <v>516</v>
      </c>
      <c r="H187" t="s">
        <v>540</v>
      </c>
      <c r="I187" t="s">
        <v>540</v>
      </c>
      <c r="J187" t="s">
        <v>316</v>
      </c>
      <c r="K187" t="s">
        <v>318</v>
      </c>
      <c r="L187" t="s">
        <v>519</v>
      </c>
      <c r="M187" t="s">
        <v>5</v>
      </c>
      <c r="N187" t="s">
        <v>5</v>
      </c>
      <c r="O187" t="s">
        <v>5</v>
      </c>
    </row>
    <row r="188" spans="1:15" x14ac:dyDescent="0.35">
      <c r="A188" t="s">
        <v>317</v>
      </c>
      <c r="B188" t="s">
        <v>320</v>
      </c>
      <c r="C188" t="s">
        <v>515</v>
      </c>
      <c r="D188" t="s">
        <v>11</v>
      </c>
      <c r="E188" t="s">
        <v>11</v>
      </c>
      <c r="F188" t="s">
        <v>516</v>
      </c>
      <c r="G188" t="s">
        <v>516</v>
      </c>
      <c r="H188" t="s">
        <v>540</v>
      </c>
      <c r="I188" t="s">
        <v>540</v>
      </c>
      <c r="J188" t="s">
        <v>318</v>
      </c>
      <c r="K188" t="s">
        <v>321</v>
      </c>
      <c r="L188" t="s">
        <v>519</v>
      </c>
      <c r="M188" t="s">
        <v>5</v>
      </c>
      <c r="N188" t="s">
        <v>5</v>
      </c>
      <c r="O188" t="s">
        <v>5</v>
      </c>
    </row>
    <row r="189" spans="1:15" x14ac:dyDescent="0.35">
      <c r="A189" t="s">
        <v>320</v>
      </c>
      <c r="B189" t="s">
        <v>323</v>
      </c>
      <c r="C189" t="s">
        <v>515</v>
      </c>
      <c r="D189" t="s">
        <v>11</v>
      </c>
      <c r="E189" t="s">
        <v>11</v>
      </c>
      <c r="F189" t="s">
        <v>516</v>
      </c>
      <c r="G189" t="s">
        <v>516</v>
      </c>
      <c r="H189" t="s">
        <v>540</v>
      </c>
      <c r="I189" t="s">
        <v>540</v>
      </c>
      <c r="J189" t="s">
        <v>321</v>
      </c>
      <c r="K189" t="s">
        <v>324</v>
      </c>
      <c r="L189" t="s">
        <v>519</v>
      </c>
      <c r="M189" t="s">
        <v>5</v>
      </c>
      <c r="N189" t="s">
        <v>5</v>
      </c>
      <c r="O189" t="s">
        <v>5</v>
      </c>
    </row>
    <row r="190" spans="1:15" x14ac:dyDescent="0.35">
      <c r="A190" t="s">
        <v>276</v>
      </c>
      <c r="B190" t="s">
        <v>326</v>
      </c>
      <c r="C190" t="s">
        <v>515</v>
      </c>
      <c r="D190" t="s">
        <v>3</v>
      </c>
      <c r="E190" t="s">
        <v>3</v>
      </c>
      <c r="F190" t="s">
        <v>516</v>
      </c>
      <c r="G190" t="s">
        <v>516</v>
      </c>
      <c r="H190" t="s">
        <v>538</v>
      </c>
      <c r="I190" t="s">
        <v>541</v>
      </c>
      <c r="J190" t="s">
        <v>277</v>
      </c>
      <c r="K190" t="s">
        <v>327</v>
      </c>
      <c r="L190" t="s">
        <v>519</v>
      </c>
      <c r="M190" t="s">
        <v>5</v>
      </c>
      <c r="N190" t="s">
        <v>5</v>
      </c>
      <c r="O190" t="s">
        <v>5</v>
      </c>
    </row>
    <row r="191" spans="1:15" x14ac:dyDescent="0.35">
      <c r="A191" t="s">
        <v>296</v>
      </c>
      <c r="B191" t="s">
        <v>329</v>
      </c>
      <c r="C191" t="s">
        <v>515</v>
      </c>
      <c r="D191" t="s">
        <v>3</v>
      </c>
      <c r="E191" t="s">
        <v>3</v>
      </c>
      <c r="F191" t="s">
        <v>516</v>
      </c>
      <c r="G191" t="s">
        <v>516</v>
      </c>
      <c r="H191" t="s">
        <v>539</v>
      </c>
      <c r="I191" t="s">
        <v>541</v>
      </c>
      <c r="J191" t="s">
        <v>297</v>
      </c>
      <c r="K191" t="s">
        <v>330</v>
      </c>
      <c r="L191" t="s">
        <v>519</v>
      </c>
      <c r="M191" t="s">
        <v>5</v>
      </c>
      <c r="N191" t="s">
        <v>5</v>
      </c>
      <c r="O191" t="s">
        <v>5</v>
      </c>
    </row>
    <row r="192" spans="1:15" x14ac:dyDescent="0.35">
      <c r="A192" t="s">
        <v>329</v>
      </c>
      <c r="B192" t="s">
        <v>332</v>
      </c>
      <c r="C192" t="s">
        <v>515</v>
      </c>
      <c r="D192" t="s">
        <v>3</v>
      </c>
      <c r="E192" t="s">
        <v>3</v>
      </c>
      <c r="F192" t="s">
        <v>516</v>
      </c>
      <c r="G192" t="s">
        <v>516</v>
      </c>
      <c r="H192" t="s">
        <v>541</v>
      </c>
      <c r="I192" t="s">
        <v>541</v>
      </c>
      <c r="J192" t="s">
        <v>330</v>
      </c>
      <c r="K192" t="s">
        <v>333</v>
      </c>
      <c r="L192" t="s">
        <v>519</v>
      </c>
      <c r="M192" t="s">
        <v>5</v>
      </c>
      <c r="N192" t="s">
        <v>5</v>
      </c>
      <c r="O192" t="s">
        <v>5</v>
      </c>
    </row>
    <row r="193" spans="1:15" x14ac:dyDescent="0.35">
      <c r="A193" t="s">
        <v>237</v>
      </c>
      <c r="B193" t="s">
        <v>332</v>
      </c>
      <c r="C193" t="s">
        <v>515</v>
      </c>
      <c r="D193" t="s">
        <v>3</v>
      </c>
      <c r="E193" t="s">
        <v>3</v>
      </c>
      <c r="F193" t="s">
        <v>516</v>
      </c>
      <c r="G193" t="s">
        <v>516</v>
      </c>
      <c r="H193" t="s">
        <v>534</v>
      </c>
      <c r="I193" t="s">
        <v>541</v>
      </c>
      <c r="J193" t="s">
        <v>238</v>
      </c>
      <c r="K193" t="s">
        <v>333</v>
      </c>
      <c r="L193" t="s">
        <v>519</v>
      </c>
      <c r="M193" t="s">
        <v>5</v>
      </c>
      <c r="N193" t="s">
        <v>5</v>
      </c>
      <c r="O193" t="s">
        <v>5</v>
      </c>
    </row>
    <row r="194" spans="1:15" x14ac:dyDescent="0.35">
      <c r="A194" t="s">
        <v>329</v>
      </c>
      <c r="B194" t="s">
        <v>335</v>
      </c>
      <c r="C194" t="s">
        <v>515</v>
      </c>
      <c r="D194" t="s">
        <v>3</v>
      </c>
      <c r="E194" t="s">
        <v>3</v>
      </c>
      <c r="F194" t="s">
        <v>516</v>
      </c>
      <c r="G194" t="s">
        <v>516</v>
      </c>
      <c r="H194" t="s">
        <v>541</v>
      </c>
      <c r="I194" t="s">
        <v>541</v>
      </c>
      <c r="J194" t="s">
        <v>330</v>
      </c>
      <c r="K194" t="s">
        <v>336</v>
      </c>
      <c r="L194" t="s">
        <v>519</v>
      </c>
      <c r="M194" t="s">
        <v>5</v>
      </c>
      <c r="N194" t="s">
        <v>5</v>
      </c>
      <c r="O194" t="s">
        <v>5</v>
      </c>
    </row>
    <row r="195" spans="1:15" x14ac:dyDescent="0.35">
      <c r="A195" t="s">
        <v>237</v>
      </c>
      <c r="B195" t="s">
        <v>335</v>
      </c>
      <c r="C195" t="s">
        <v>515</v>
      </c>
      <c r="D195" t="s">
        <v>3</v>
      </c>
      <c r="E195" t="s">
        <v>3</v>
      </c>
      <c r="F195" t="s">
        <v>516</v>
      </c>
      <c r="G195" t="s">
        <v>516</v>
      </c>
      <c r="H195" t="s">
        <v>534</v>
      </c>
      <c r="I195" t="s">
        <v>541</v>
      </c>
      <c r="J195" t="s">
        <v>238</v>
      </c>
      <c r="K195" t="s">
        <v>336</v>
      </c>
      <c r="L195" t="s">
        <v>519</v>
      </c>
      <c r="M195" t="s">
        <v>5</v>
      </c>
      <c r="N195" t="s">
        <v>5</v>
      </c>
      <c r="O195" t="s">
        <v>5</v>
      </c>
    </row>
    <row r="196" spans="1:15" x14ac:dyDescent="0.35">
      <c r="A196" t="s">
        <v>332</v>
      </c>
      <c r="B196" t="s">
        <v>337</v>
      </c>
      <c r="C196" t="s">
        <v>515</v>
      </c>
      <c r="D196" t="s">
        <v>3</v>
      </c>
      <c r="E196" t="s">
        <v>11</v>
      </c>
      <c r="F196" t="s">
        <v>516</v>
      </c>
      <c r="G196" t="s">
        <v>516</v>
      </c>
      <c r="H196" t="s">
        <v>541</v>
      </c>
      <c r="I196" t="s">
        <v>541</v>
      </c>
      <c r="J196" t="s">
        <v>333</v>
      </c>
      <c r="K196" t="s">
        <v>338</v>
      </c>
      <c r="L196" t="s">
        <v>519</v>
      </c>
      <c r="M196" t="s">
        <v>5</v>
      </c>
      <c r="N196" t="s">
        <v>5</v>
      </c>
      <c r="O196" t="s">
        <v>5</v>
      </c>
    </row>
    <row r="197" spans="1:15" x14ac:dyDescent="0.35">
      <c r="A197" t="s">
        <v>335</v>
      </c>
      <c r="B197" t="s">
        <v>339</v>
      </c>
      <c r="C197" t="s">
        <v>515</v>
      </c>
      <c r="D197" t="s">
        <v>3</v>
      </c>
      <c r="E197" t="s">
        <v>11</v>
      </c>
      <c r="F197" t="s">
        <v>516</v>
      </c>
      <c r="G197" t="s">
        <v>516</v>
      </c>
      <c r="H197" t="s">
        <v>541</v>
      </c>
      <c r="I197" t="s">
        <v>541</v>
      </c>
      <c r="J197" t="s">
        <v>336</v>
      </c>
      <c r="K197" t="s">
        <v>340</v>
      </c>
      <c r="L197" t="s">
        <v>519</v>
      </c>
      <c r="M197" t="s">
        <v>5</v>
      </c>
      <c r="N197" t="s">
        <v>5</v>
      </c>
      <c r="O197" t="s">
        <v>5</v>
      </c>
    </row>
    <row r="198" spans="1:15" x14ac:dyDescent="0.35">
      <c r="A198" t="s">
        <v>332</v>
      </c>
      <c r="B198" t="s">
        <v>342</v>
      </c>
      <c r="C198" t="s">
        <v>515</v>
      </c>
      <c r="D198" t="s">
        <v>3</v>
      </c>
      <c r="E198" t="s">
        <v>11</v>
      </c>
      <c r="F198" t="s">
        <v>516</v>
      </c>
      <c r="G198" t="s">
        <v>516</v>
      </c>
      <c r="H198" t="s">
        <v>541</v>
      </c>
      <c r="I198" t="s">
        <v>541</v>
      </c>
      <c r="J198" t="s">
        <v>333</v>
      </c>
      <c r="K198" t="s">
        <v>343</v>
      </c>
      <c r="L198" t="s">
        <v>519</v>
      </c>
      <c r="M198" t="s">
        <v>5</v>
      </c>
      <c r="N198" t="s">
        <v>5</v>
      </c>
      <c r="O198" t="s">
        <v>5</v>
      </c>
    </row>
    <row r="199" spans="1:15" x14ac:dyDescent="0.35">
      <c r="A199" t="s">
        <v>337</v>
      </c>
      <c r="B199" t="s">
        <v>344</v>
      </c>
      <c r="C199" t="s">
        <v>515</v>
      </c>
      <c r="D199" t="s">
        <v>11</v>
      </c>
      <c r="E199" t="s">
        <v>11</v>
      </c>
      <c r="F199" t="s">
        <v>516</v>
      </c>
      <c r="G199" t="s">
        <v>516</v>
      </c>
      <c r="H199" t="s">
        <v>541</v>
      </c>
      <c r="I199" t="s">
        <v>541</v>
      </c>
      <c r="J199" t="s">
        <v>338</v>
      </c>
      <c r="K199" t="s">
        <v>345</v>
      </c>
      <c r="L199" t="s">
        <v>519</v>
      </c>
      <c r="M199" t="s">
        <v>5</v>
      </c>
      <c r="N199" t="s">
        <v>5</v>
      </c>
      <c r="O199" t="s">
        <v>5</v>
      </c>
    </row>
    <row r="200" spans="1:15" x14ac:dyDescent="0.35">
      <c r="A200" t="s">
        <v>342</v>
      </c>
      <c r="B200" t="s">
        <v>344</v>
      </c>
      <c r="C200" t="s">
        <v>515</v>
      </c>
      <c r="D200" t="s">
        <v>11</v>
      </c>
      <c r="E200" t="s">
        <v>11</v>
      </c>
      <c r="F200" t="s">
        <v>516</v>
      </c>
      <c r="G200" t="s">
        <v>516</v>
      </c>
      <c r="H200" t="s">
        <v>541</v>
      </c>
      <c r="I200" t="s">
        <v>541</v>
      </c>
      <c r="J200" t="s">
        <v>343</v>
      </c>
      <c r="K200" t="s">
        <v>345</v>
      </c>
      <c r="L200" t="s">
        <v>519</v>
      </c>
      <c r="M200" t="s">
        <v>5</v>
      </c>
      <c r="N200" t="s">
        <v>5</v>
      </c>
      <c r="O200" t="s">
        <v>5</v>
      </c>
    </row>
    <row r="201" spans="1:15" x14ac:dyDescent="0.35">
      <c r="A201" t="s">
        <v>311</v>
      </c>
      <c r="B201" t="s">
        <v>346</v>
      </c>
      <c r="C201" t="s">
        <v>515</v>
      </c>
      <c r="D201" t="s">
        <v>3</v>
      </c>
      <c r="E201" t="s">
        <v>3</v>
      </c>
      <c r="F201" t="s">
        <v>516</v>
      </c>
      <c r="G201" t="s">
        <v>516</v>
      </c>
      <c r="H201" t="s">
        <v>540</v>
      </c>
      <c r="I201" t="s">
        <v>542</v>
      </c>
      <c r="J201" t="s">
        <v>312</v>
      </c>
      <c r="K201" t="s">
        <v>347</v>
      </c>
      <c r="L201" t="s">
        <v>519</v>
      </c>
      <c r="M201" t="s">
        <v>5</v>
      </c>
      <c r="N201" t="s">
        <v>5</v>
      </c>
      <c r="O201" t="s">
        <v>5</v>
      </c>
    </row>
    <row r="202" spans="1:15" x14ac:dyDescent="0.35">
      <c r="A202" t="s">
        <v>313</v>
      </c>
      <c r="B202" t="s">
        <v>346</v>
      </c>
      <c r="C202" t="s">
        <v>515</v>
      </c>
      <c r="D202" t="s">
        <v>3</v>
      </c>
      <c r="E202" t="s">
        <v>3</v>
      </c>
      <c r="F202" t="s">
        <v>516</v>
      </c>
      <c r="G202" t="s">
        <v>516</v>
      </c>
      <c r="H202" t="s">
        <v>540</v>
      </c>
      <c r="I202" t="s">
        <v>542</v>
      </c>
      <c r="J202" t="s">
        <v>314</v>
      </c>
      <c r="K202" t="s">
        <v>347</v>
      </c>
      <c r="L202" t="s">
        <v>519</v>
      </c>
      <c r="M202" t="s">
        <v>5</v>
      </c>
      <c r="N202" t="s">
        <v>5</v>
      </c>
      <c r="O202" t="s">
        <v>5</v>
      </c>
    </row>
    <row r="203" spans="1:15" x14ac:dyDescent="0.35">
      <c r="A203" t="s">
        <v>237</v>
      </c>
      <c r="B203" t="s">
        <v>346</v>
      </c>
      <c r="C203" t="s">
        <v>515</v>
      </c>
      <c r="D203" t="s">
        <v>3</v>
      </c>
      <c r="E203" t="s">
        <v>3</v>
      </c>
      <c r="F203" t="s">
        <v>516</v>
      </c>
      <c r="G203" t="s">
        <v>516</v>
      </c>
      <c r="H203" t="s">
        <v>534</v>
      </c>
      <c r="I203" t="s">
        <v>542</v>
      </c>
      <c r="J203" t="s">
        <v>238</v>
      </c>
      <c r="K203" t="s">
        <v>347</v>
      </c>
      <c r="L203" t="s">
        <v>519</v>
      </c>
      <c r="M203" t="s">
        <v>5</v>
      </c>
      <c r="N203" t="s">
        <v>5</v>
      </c>
      <c r="O203" t="s">
        <v>5</v>
      </c>
    </row>
    <row r="204" spans="1:15" x14ac:dyDescent="0.35">
      <c r="A204" t="s">
        <v>315</v>
      </c>
      <c r="B204" t="s">
        <v>349</v>
      </c>
      <c r="C204" t="s">
        <v>515</v>
      </c>
      <c r="D204" t="s">
        <v>3</v>
      </c>
      <c r="E204" t="s">
        <v>11</v>
      </c>
      <c r="F204" t="s">
        <v>516</v>
      </c>
      <c r="G204" t="s">
        <v>516</v>
      </c>
      <c r="H204" t="s">
        <v>540</v>
      </c>
      <c r="I204" t="s">
        <v>542</v>
      </c>
      <c r="J204" t="s">
        <v>316</v>
      </c>
      <c r="K204" t="s">
        <v>350</v>
      </c>
      <c r="L204" t="s">
        <v>519</v>
      </c>
      <c r="M204" t="s">
        <v>5</v>
      </c>
      <c r="N204" t="s">
        <v>5</v>
      </c>
      <c r="O204" t="s">
        <v>5</v>
      </c>
    </row>
    <row r="205" spans="1:15" x14ac:dyDescent="0.35">
      <c r="A205" t="s">
        <v>296</v>
      </c>
      <c r="B205" t="s">
        <v>351</v>
      </c>
      <c r="C205" t="s">
        <v>515</v>
      </c>
      <c r="D205" t="s">
        <v>3</v>
      </c>
      <c r="E205" t="s">
        <v>3</v>
      </c>
      <c r="F205" t="s">
        <v>516</v>
      </c>
      <c r="G205" t="s">
        <v>516</v>
      </c>
      <c r="H205" t="s">
        <v>539</v>
      </c>
      <c r="I205" t="s">
        <v>542</v>
      </c>
      <c r="J205" t="s">
        <v>297</v>
      </c>
      <c r="K205" t="s">
        <v>352</v>
      </c>
      <c r="L205" t="s">
        <v>519</v>
      </c>
      <c r="M205" t="s">
        <v>5</v>
      </c>
      <c r="N205" t="s">
        <v>5</v>
      </c>
      <c r="O205" t="s">
        <v>5</v>
      </c>
    </row>
    <row r="206" spans="1:15" x14ac:dyDescent="0.35">
      <c r="A206" t="s">
        <v>329</v>
      </c>
      <c r="B206" t="s">
        <v>353</v>
      </c>
      <c r="C206" t="s">
        <v>515</v>
      </c>
      <c r="D206" t="s">
        <v>3</v>
      </c>
      <c r="E206" t="s">
        <v>3</v>
      </c>
      <c r="F206" t="s">
        <v>516</v>
      </c>
      <c r="G206" t="s">
        <v>516</v>
      </c>
      <c r="H206" t="s">
        <v>541</v>
      </c>
      <c r="I206" t="s">
        <v>542</v>
      </c>
      <c r="J206" t="s">
        <v>330</v>
      </c>
      <c r="K206" t="s">
        <v>354</v>
      </c>
      <c r="L206" t="s">
        <v>519</v>
      </c>
      <c r="M206" t="s">
        <v>5</v>
      </c>
      <c r="N206" t="s">
        <v>5</v>
      </c>
      <c r="O206" t="s">
        <v>5</v>
      </c>
    </row>
    <row r="207" spans="1:15" x14ac:dyDescent="0.35">
      <c r="A207" t="s">
        <v>339</v>
      </c>
      <c r="B207" t="s">
        <v>355</v>
      </c>
      <c r="C207" t="s">
        <v>515</v>
      </c>
      <c r="D207" t="s">
        <v>11</v>
      </c>
      <c r="E207" t="s">
        <v>11</v>
      </c>
      <c r="F207" t="s">
        <v>516</v>
      </c>
      <c r="G207" t="s">
        <v>516</v>
      </c>
      <c r="H207" t="s">
        <v>541</v>
      </c>
      <c r="I207" t="s">
        <v>542</v>
      </c>
      <c r="J207" t="s">
        <v>340</v>
      </c>
      <c r="K207" t="s">
        <v>356</v>
      </c>
      <c r="L207" t="s">
        <v>519</v>
      </c>
      <c r="M207" t="s">
        <v>5</v>
      </c>
      <c r="N207" t="s">
        <v>5</v>
      </c>
      <c r="O207" t="s">
        <v>5</v>
      </c>
    </row>
    <row r="208" spans="1:15" x14ac:dyDescent="0.35">
      <c r="A208" t="s">
        <v>346</v>
      </c>
      <c r="B208" t="s">
        <v>355</v>
      </c>
      <c r="C208" t="s">
        <v>515</v>
      </c>
      <c r="D208" t="s">
        <v>3</v>
      </c>
      <c r="E208" t="s">
        <v>11</v>
      </c>
      <c r="F208" t="s">
        <v>516</v>
      </c>
      <c r="G208" t="s">
        <v>516</v>
      </c>
      <c r="H208" t="s">
        <v>542</v>
      </c>
      <c r="I208" t="s">
        <v>542</v>
      </c>
      <c r="J208" t="s">
        <v>347</v>
      </c>
      <c r="K208" t="s">
        <v>356</v>
      </c>
      <c r="L208" t="s">
        <v>519</v>
      </c>
      <c r="M208" t="s">
        <v>5</v>
      </c>
      <c r="N208" t="s">
        <v>5</v>
      </c>
      <c r="O208" t="s">
        <v>5</v>
      </c>
    </row>
    <row r="209" spans="1:15" x14ac:dyDescent="0.35">
      <c r="A209" t="s">
        <v>344</v>
      </c>
      <c r="B209" t="s">
        <v>355</v>
      </c>
      <c r="C209" t="s">
        <v>515</v>
      </c>
      <c r="D209" t="s">
        <v>11</v>
      </c>
      <c r="E209" t="s">
        <v>11</v>
      </c>
      <c r="F209" t="s">
        <v>516</v>
      </c>
      <c r="G209" t="s">
        <v>516</v>
      </c>
      <c r="H209" t="s">
        <v>541</v>
      </c>
      <c r="I209" t="s">
        <v>542</v>
      </c>
      <c r="J209" t="s">
        <v>345</v>
      </c>
      <c r="K209" t="s">
        <v>356</v>
      </c>
      <c r="L209" t="s">
        <v>519</v>
      </c>
      <c r="M209" t="s">
        <v>5</v>
      </c>
      <c r="N209" t="s">
        <v>5</v>
      </c>
      <c r="O209" t="s">
        <v>5</v>
      </c>
    </row>
    <row r="210" spans="1:15" x14ac:dyDescent="0.35">
      <c r="A210" t="s">
        <v>355</v>
      </c>
      <c r="B210" t="s">
        <v>358</v>
      </c>
      <c r="C210" t="s">
        <v>515</v>
      </c>
      <c r="D210" t="s">
        <v>11</v>
      </c>
      <c r="E210" t="s">
        <v>11</v>
      </c>
      <c r="F210" t="s">
        <v>516</v>
      </c>
      <c r="G210" t="s">
        <v>516</v>
      </c>
      <c r="H210" t="s">
        <v>542</v>
      </c>
      <c r="I210" t="s">
        <v>542</v>
      </c>
      <c r="J210" t="s">
        <v>356</v>
      </c>
      <c r="K210" t="s">
        <v>359</v>
      </c>
      <c r="L210" t="s">
        <v>519</v>
      </c>
      <c r="M210" t="s">
        <v>5</v>
      </c>
      <c r="N210" t="s">
        <v>5</v>
      </c>
      <c r="O210" t="s">
        <v>5</v>
      </c>
    </row>
    <row r="211" spans="1:15" x14ac:dyDescent="0.35">
      <c r="A211" t="s">
        <v>311</v>
      </c>
      <c r="B211" t="s">
        <v>360</v>
      </c>
      <c r="C211" t="s">
        <v>515</v>
      </c>
      <c r="D211" t="s">
        <v>3</v>
      </c>
      <c r="E211" t="s">
        <v>3</v>
      </c>
      <c r="F211" t="s">
        <v>516</v>
      </c>
      <c r="G211" t="s">
        <v>516</v>
      </c>
      <c r="H211" t="s">
        <v>540</v>
      </c>
      <c r="I211" t="s">
        <v>543</v>
      </c>
      <c r="J211" t="s">
        <v>312</v>
      </c>
      <c r="K211" t="s">
        <v>361</v>
      </c>
      <c r="L211" t="s">
        <v>519</v>
      </c>
      <c r="M211" t="s">
        <v>5</v>
      </c>
      <c r="N211" t="s">
        <v>5</v>
      </c>
      <c r="O211" t="s">
        <v>5</v>
      </c>
    </row>
    <row r="212" spans="1:15" x14ac:dyDescent="0.35">
      <c r="A212" t="s">
        <v>313</v>
      </c>
      <c r="B212" t="s">
        <v>360</v>
      </c>
      <c r="C212" t="s">
        <v>515</v>
      </c>
      <c r="D212" t="s">
        <v>3</v>
      </c>
      <c r="E212" t="s">
        <v>3</v>
      </c>
      <c r="F212" t="s">
        <v>516</v>
      </c>
      <c r="G212" t="s">
        <v>516</v>
      </c>
      <c r="H212" t="s">
        <v>540</v>
      </c>
      <c r="I212" t="s">
        <v>543</v>
      </c>
      <c r="J212" t="s">
        <v>314</v>
      </c>
      <c r="K212" t="s">
        <v>361</v>
      </c>
      <c r="L212" t="s">
        <v>519</v>
      </c>
      <c r="M212" t="s">
        <v>5</v>
      </c>
      <c r="N212" t="s">
        <v>5</v>
      </c>
      <c r="O212" t="s">
        <v>5</v>
      </c>
    </row>
    <row r="213" spans="1:15" x14ac:dyDescent="0.35">
      <c r="A213" t="s">
        <v>320</v>
      </c>
      <c r="B213" t="s">
        <v>362</v>
      </c>
      <c r="C213" t="s">
        <v>515</v>
      </c>
      <c r="D213" t="s">
        <v>11</v>
      </c>
      <c r="E213" t="s">
        <v>11</v>
      </c>
      <c r="F213" t="s">
        <v>516</v>
      </c>
      <c r="G213" t="s">
        <v>516</v>
      </c>
      <c r="H213" t="s">
        <v>540</v>
      </c>
      <c r="I213" t="s">
        <v>543</v>
      </c>
      <c r="J213" t="s">
        <v>321</v>
      </c>
      <c r="K213" t="s">
        <v>363</v>
      </c>
      <c r="L213" t="s">
        <v>519</v>
      </c>
      <c r="M213" t="s">
        <v>5</v>
      </c>
      <c r="N213" t="s">
        <v>5</v>
      </c>
      <c r="O213" t="s">
        <v>5</v>
      </c>
    </row>
    <row r="214" spans="1:15" x14ac:dyDescent="0.35">
      <c r="A214" t="s">
        <v>362</v>
      </c>
      <c r="B214" t="s">
        <v>364</v>
      </c>
      <c r="C214" t="s">
        <v>515</v>
      </c>
      <c r="D214" t="s">
        <v>11</v>
      </c>
      <c r="E214" t="s">
        <v>11</v>
      </c>
      <c r="F214" t="s">
        <v>516</v>
      </c>
      <c r="G214" t="s">
        <v>516</v>
      </c>
      <c r="H214" t="s">
        <v>543</v>
      </c>
      <c r="I214" t="s">
        <v>543</v>
      </c>
      <c r="J214" t="s">
        <v>363</v>
      </c>
      <c r="K214" t="s">
        <v>365</v>
      </c>
      <c r="L214" t="s">
        <v>519</v>
      </c>
      <c r="M214" t="s">
        <v>5</v>
      </c>
      <c r="N214" t="s">
        <v>5</v>
      </c>
      <c r="O214" t="s">
        <v>5</v>
      </c>
    </row>
    <row r="215" spans="1:15" x14ac:dyDescent="0.35">
      <c r="A215" t="s">
        <v>323</v>
      </c>
      <c r="B215" t="s">
        <v>366</v>
      </c>
      <c r="C215" t="s">
        <v>515</v>
      </c>
      <c r="D215" t="s">
        <v>11</v>
      </c>
      <c r="E215" t="s">
        <v>11</v>
      </c>
      <c r="F215" t="s">
        <v>516</v>
      </c>
      <c r="G215" t="s">
        <v>516</v>
      </c>
      <c r="H215" t="s">
        <v>540</v>
      </c>
      <c r="I215" t="s">
        <v>526</v>
      </c>
      <c r="J215" t="s">
        <v>324</v>
      </c>
      <c r="K215" t="s">
        <v>367</v>
      </c>
      <c r="L215" t="s">
        <v>519</v>
      </c>
      <c r="M215" t="s">
        <v>5</v>
      </c>
      <c r="N215" t="s">
        <v>5</v>
      </c>
      <c r="O215" t="s">
        <v>5</v>
      </c>
    </row>
    <row r="216" spans="1:15" x14ac:dyDescent="0.35">
      <c r="A216" t="s">
        <v>308</v>
      </c>
      <c r="B216" t="s">
        <v>369</v>
      </c>
      <c r="C216" t="s">
        <v>515</v>
      </c>
      <c r="D216" t="s">
        <v>3</v>
      </c>
      <c r="E216" t="s">
        <v>3</v>
      </c>
      <c r="F216" t="s">
        <v>516</v>
      </c>
      <c r="G216" t="s">
        <v>516</v>
      </c>
      <c r="H216" t="s">
        <v>540</v>
      </c>
      <c r="I216" t="s">
        <v>526</v>
      </c>
      <c r="J216" t="s">
        <v>309</v>
      </c>
      <c r="K216" t="s">
        <v>370</v>
      </c>
      <c r="L216" t="s">
        <v>519</v>
      </c>
      <c r="M216" t="s">
        <v>5</v>
      </c>
      <c r="N216" t="s">
        <v>5</v>
      </c>
      <c r="O216" t="s">
        <v>5</v>
      </c>
    </row>
    <row r="217" spans="1:15" x14ac:dyDescent="0.35">
      <c r="A217" t="s">
        <v>369</v>
      </c>
      <c r="B217" t="s">
        <v>372</v>
      </c>
      <c r="C217" t="s">
        <v>515</v>
      </c>
      <c r="D217" t="s">
        <v>3</v>
      </c>
      <c r="E217" t="s">
        <v>11</v>
      </c>
      <c r="F217" t="s">
        <v>516</v>
      </c>
      <c r="G217" t="s">
        <v>516</v>
      </c>
      <c r="H217" t="s">
        <v>526</v>
      </c>
      <c r="I217" t="s">
        <v>526</v>
      </c>
      <c r="J217" t="s">
        <v>370</v>
      </c>
      <c r="K217" t="s">
        <v>373</v>
      </c>
      <c r="L217" t="s">
        <v>519</v>
      </c>
      <c r="M217" t="s">
        <v>5</v>
      </c>
      <c r="N217" t="s">
        <v>5</v>
      </c>
      <c r="O217" t="s">
        <v>5</v>
      </c>
    </row>
    <row r="218" spans="1:15" x14ac:dyDescent="0.35">
      <c r="A218" t="s">
        <v>366</v>
      </c>
      <c r="B218" t="s">
        <v>372</v>
      </c>
      <c r="C218" t="s">
        <v>515</v>
      </c>
      <c r="D218" t="s">
        <v>11</v>
      </c>
      <c r="E218" t="s">
        <v>11</v>
      </c>
      <c r="F218" t="s">
        <v>516</v>
      </c>
      <c r="G218" t="s">
        <v>516</v>
      </c>
      <c r="H218" t="s">
        <v>526</v>
      </c>
      <c r="I218" t="s">
        <v>526</v>
      </c>
      <c r="J218" t="s">
        <v>367</v>
      </c>
      <c r="K218" t="s">
        <v>373</v>
      </c>
      <c r="L218" t="s">
        <v>519</v>
      </c>
      <c r="M218" t="s">
        <v>5</v>
      </c>
      <c r="N218" t="s">
        <v>5</v>
      </c>
      <c r="O218" t="s">
        <v>5</v>
      </c>
    </row>
    <row r="219" spans="1:15" x14ac:dyDescent="0.35">
      <c r="A219" t="s">
        <v>372</v>
      </c>
      <c r="B219" t="s">
        <v>374</v>
      </c>
      <c r="C219" t="s">
        <v>515</v>
      </c>
      <c r="D219" t="s">
        <v>11</v>
      </c>
      <c r="E219" t="s">
        <v>11</v>
      </c>
      <c r="F219" t="s">
        <v>516</v>
      </c>
      <c r="G219" t="s">
        <v>516</v>
      </c>
      <c r="H219" t="s">
        <v>526</v>
      </c>
      <c r="I219" t="s">
        <v>526</v>
      </c>
      <c r="J219" t="s">
        <v>373</v>
      </c>
      <c r="K219" t="s">
        <v>375</v>
      </c>
      <c r="L219" t="s">
        <v>519</v>
      </c>
      <c r="M219" t="s">
        <v>5</v>
      </c>
      <c r="N219" t="s">
        <v>5</v>
      </c>
      <c r="O219" t="s">
        <v>5</v>
      </c>
    </row>
    <row r="220" spans="1:15" x14ac:dyDescent="0.35">
      <c r="A220" t="s">
        <v>323</v>
      </c>
      <c r="B220" t="s">
        <v>377</v>
      </c>
      <c r="C220" t="s">
        <v>515</v>
      </c>
      <c r="D220" t="s">
        <v>11</v>
      </c>
      <c r="E220" t="s">
        <v>11</v>
      </c>
      <c r="F220" t="s">
        <v>516</v>
      </c>
      <c r="G220" t="s">
        <v>516</v>
      </c>
      <c r="H220" t="s">
        <v>540</v>
      </c>
      <c r="I220" t="s">
        <v>526</v>
      </c>
      <c r="J220" t="s">
        <v>324</v>
      </c>
      <c r="K220" t="s">
        <v>378</v>
      </c>
      <c r="L220" t="s">
        <v>519</v>
      </c>
      <c r="M220" t="s">
        <v>5</v>
      </c>
      <c r="N220" t="s">
        <v>5</v>
      </c>
      <c r="O220" t="s">
        <v>5</v>
      </c>
    </row>
    <row r="221" spans="1:15" x14ac:dyDescent="0.35">
      <c r="A221" t="s">
        <v>358</v>
      </c>
      <c r="B221" t="s">
        <v>377</v>
      </c>
      <c r="C221" t="s">
        <v>515</v>
      </c>
      <c r="D221" t="s">
        <v>11</v>
      </c>
      <c r="E221" t="s">
        <v>11</v>
      </c>
      <c r="F221" t="s">
        <v>516</v>
      </c>
      <c r="G221" t="s">
        <v>516</v>
      </c>
      <c r="H221" t="s">
        <v>542</v>
      </c>
      <c r="I221" t="s">
        <v>526</v>
      </c>
      <c r="J221" t="s">
        <v>359</v>
      </c>
      <c r="K221" t="s">
        <v>378</v>
      </c>
      <c r="L221" t="s">
        <v>519</v>
      </c>
      <c r="M221" t="s">
        <v>5</v>
      </c>
      <c r="N221" t="s">
        <v>5</v>
      </c>
      <c r="O221" t="s">
        <v>5</v>
      </c>
    </row>
    <row r="222" spans="1:15" x14ac:dyDescent="0.35">
      <c r="A222" t="s">
        <v>374</v>
      </c>
      <c r="B222" t="s">
        <v>377</v>
      </c>
      <c r="C222" t="s">
        <v>515</v>
      </c>
      <c r="D222" t="s">
        <v>11</v>
      </c>
      <c r="E222" t="s">
        <v>11</v>
      </c>
      <c r="F222" t="s">
        <v>516</v>
      </c>
      <c r="G222" t="s">
        <v>516</v>
      </c>
      <c r="H222" t="s">
        <v>526</v>
      </c>
      <c r="I222" t="s">
        <v>526</v>
      </c>
      <c r="J222" t="s">
        <v>375</v>
      </c>
      <c r="K222" t="s">
        <v>378</v>
      </c>
      <c r="L222" t="s">
        <v>519</v>
      </c>
      <c r="M222" t="s">
        <v>5</v>
      </c>
      <c r="N222" t="s">
        <v>5</v>
      </c>
      <c r="O222" t="s">
        <v>5</v>
      </c>
    </row>
    <row r="223" spans="1:15" x14ac:dyDescent="0.35">
      <c r="A223" t="s">
        <v>364</v>
      </c>
      <c r="B223" t="s">
        <v>377</v>
      </c>
      <c r="C223" t="s">
        <v>515</v>
      </c>
      <c r="D223" t="s">
        <v>11</v>
      </c>
      <c r="E223" t="s">
        <v>11</v>
      </c>
      <c r="F223" t="s">
        <v>516</v>
      </c>
      <c r="G223" t="s">
        <v>516</v>
      </c>
      <c r="H223" t="s">
        <v>543</v>
      </c>
      <c r="I223" t="s">
        <v>526</v>
      </c>
      <c r="J223" t="s">
        <v>365</v>
      </c>
      <c r="K223" t="s">
        <v>378</v>
      </c>
      <c r="L223" t="s">
        <v>519</v>
      </c>
      <c r="M223" t="s">
        <v>5</v>
      </c>
      <c r="N223" t="s">
        <v>5</v>
      </c>
      <c r="O223" t="s">
        <v>5</v>
      </c>
    </row>
    <row r="224" spans="1:15" x14ac:dyDescent="0.35">
      <c r="A224" t="s">
        <v>265</v>
      </c>
      <c r="B224" t="s">
        <v>379</v>
      </c>
      <c r="C224" t="s">
        <v>515</v>
      </c>
      <c r="D224" t="s">
        <v>3</v>
      </c>
      <c r="E224" t="s">
        <v>3</v>
      </c>
      <c r="F224" t="s">
        <v>516</v>
      </c>
      <c r="G224" t="s">
        <v>516</v>
      </c>
      <c r="H224" t="s">
        <v>536</v>
      </c>
      <c r="I224" t="s">
        <v>544</v>
      </c>
      <c r="J224" t="s">
        <v>266</v>
      </c>
      <c r="K224" t="s">
        <v>380</v>
      </c>
      <c r="L224" t="s">
        <v>519</v>
      </c>
      <c r="M224" t="s">
        <v>5</v>
      </c>
      <c r="N224" t="s">
        <v>5</v>
      </c>
      <c r="O224" t="s">
        <v>5</v>
      </c>
    </row>
    <row r="225" spans="1:15" x14ac:dyDescent="0.35">
      <c r="A225" t="s">
        <v>188</v>
      </c>
      <c r="B225" t="s">
        <v>379</v>
      </c>
      <c r="C225" t="s">
        <v>515</v>
      </c>
      <c r="D225" t="s">
        <v>3</v>
      </c>
      <c r="E225" t="s">
        <v>3</v>
      </c>
      <c r="F225" t="s">
        <v>516</v>
      </c>
      <c r="G225" t="s">
        <v>516</v>
      </c>
      <c r="H225" t="s">
        <v>533</v>
      </c>
      <c r="I225" t="s">
        <v>544</v>
      </c>
      <c r="J225" t="s">
        <v>189</v>
      </c>
      <c r="K225" t="s">
        <v>380</v>
      </c>
      <c r="L225" t="s">
        <v>519</v>
      </c>
      <c r="M225" t="s">
        <v>5</v>
      </c>
      <c r="N225" t="s">
        <v>5</v>
      </c>
      <c r="O225" t="s">
        <v>5</v>
      </c>
    </row>
    <row r="226" spans="1:15" x14ac:dyDescent="0.35">
      <c r="A226" t="s">
        <v>190</v>
      </c>
      <c r="B226" t="s">
        <v>379</v>
      </c>
      <c r="C226" t="s">
        <v>515</v>
      </c>
      <c r="D226" t="s">
        <v>3</v>
      </c>
      <c r="E226" t="s">
        <v>3</v>
      </c>
      <c r="F226" t="s">
        <v>516</v>
      </c>
      <c r="G226" t="s">
        <v>516</v>
      </c>
      <c r="H226" t="s">
        <v>533</v>
      </c>
      <c r="I226" t="s">
        <v>544</v>
      </c>
      <c r="J226" t="s">
        <v>191</v>
      </c>
      <c r="K226" t="s">
        <v>380</v>
      </c>
      <c r="L226" t="s">
        <v>519</v>
      </c>
      <c r="M226" t="s">
        <v>5</v>
      </c>
      <c r="N226" t="s">
        <v>5</v>
      </c>
      <c r="O226" t="s">
        <v>5</v>
      </c>
    </row>
    <row r="227" spans="1:15" x14ac:dyDescent="0.35">
      <c r="A227" t="s">
        <v>379</v>
      </c>
      <c r="B227" t="s">
        <v>382</v>
      </c>
      <c r="C227" t="s">
        <v>515</v>
      </c>
      <c r="D227" t="s">
        <v>3</v>
      </c>
      <c r="E227" t="s">
        <v>3</v>
      </c>
      <c r="F227" t="s">
        <v>516</v>
      </c>
      <c r="G227" t="s">
        <v>516</v>
      </c>
      <c r="H227" t="s">
        <v>544</v>
      </c>
      <c r="I227" t="s">
        <v>544</v>
      </c>
      <c r="J227" t="s">
        <v>380</v>
      </c>
      <c r="K227" t="s">
        <v>383</v>
      </c>
      <c r="L227" t="s">
        <v>519</v>
      </c>
      <c r="M227" t="s">
        <v>5</v>
      </c>
      <c r="N227" t="s">
        <v>5</v>
      </c>
      <c r="O227" t="s">
        <v>5</v>
      </c>
    </row>
    <row r="228" spans="1:15" x14ac:dyDescent="0.35">
      <c r="A228" t="s">
        <v>382</v>
      </c>
      <c r="B228" t="s">
        <v>385</v>
      </c>
      <c r="C228" t="s">
        <v>515</v>
      </c>
      <c r="D228" t="s">
        <v>3</v>
      </c>
      <c r="E228" t="s">
        <v>3</v>
      </c>
      <c r="F228" t="s">
        <v>516</v>
      </c>
      <c r="G228" t="s">
        <v>516</v>
      </c>
      <c r="H228" t="s">
        <v>544</v>
      </c>
      <c r="I228" t="s">
        <v>544</v>
      </c>
      <c r="J228" t="s">
        <v>383</v>
      </c>
      <c r="K228" t="s">
        <v>386</v>
      </c>
      <c r="L228" t="s">
        <v>519</v>
      </c>
      <c r="M228" t="s">
        <v>5</v>
      </c>
      <c r="N228" t="s">
        <v>5</v>
      </c>
      <c r="O228" t="s">
        <v>5</v>
      </c>
    </row>
    <row r="229" spans="1:15" x14ac:dyDescent="0.35">
      <c r="A229" t="s">
        <v>385</v>
      </c>
      <c r="B229" t="s">
        <v>387</v>
      </c>
      <c r="C229" t="s">
        <v>515</v>
      </c>
      <c r="D229" t="s">
        <v>3</v>
      </c>
      <c r="E229" t="s">
        <v>3</v>
      </c>
      <c r="F229" t="s">
        <v>516</v>
      </c>
      <c r="G229" t="s">
        <v>516</v>
      </c>
      <c r="H229" t="s">
        <v>544</v>
      </c>
      <c r="I229" t="s">
        <v>544</v>
      </c>
      <c r="J229" t="s">
        <v>386</v>
      </c>
      <c r="K229" t="s">
        <v>388</v>
      </c>
      <c r="L229" t="s">
        <v>519</v>
      </c>
      <c r="M229" t="s">
        <v>5</v>
      </c>
      <c r="N229" t="s">
        <v>5</v>
      </c>
      <c r="O229" t="s">
        <v>5</v>
      </c>
    </row>
    <row r="230" spans="1:15" x14ac:dyDescent="0.35">
      <c r="A230" t="s">
        <v>387</v>
      </c>
      <c r="B230" t="s">
        <v>389</v>
      </c>
      <c r="C230" t="s">
        <v>515</v>
      </c>
      <c r="D230" t="s">
        <v>3</v>
      </c>
      <c r="E230" t="s">
        <v>3</v>
      </c>
      <c r="F230" t="s">
        <v>516</v>
      </c>
      <c r="G230" t="s">
        <v>516</v>
      </c>
      <c r="H230" t="s">
        <v>544</v>
      </c>
      <c r="I230" t="s">
        <v>545</v>
      </c>
      <c r="J230" t="s">
        <v>388</v>
      </c>
      <c r="K230" t="s">
        <v>390</v>
      </c>
      <c r="L230" t="s">
        <v>519</v>
      </c>
      <c r="M230" t="s">
        <v>5</v>
      </c>
      <c r="N230" t="s">
        <v>5</v>
      </c>
      <c r="O230" t="s">
        <v>5</v>
      </c>
    </row>
    <row r="231" spans="1:15" x14ac:dyDescent="0.35">
      <c r="A231" t="s">
        <v>246</v>
      </c>
      <c r="B231" t="s">
        <v>389</v>
      </c>
      <c r="C231" t="s">
        <v>515</v>
      </c>
      <c r="D231" t="s">
        <v>3</v>
      </c>
      <c r="E231" t="s">
        <v>3</v>
      </c>
      <c r="F231" t="s">
        <v>516</v>
      </c>
      <c r="G231" t="s">
        <v>516</v>
      </c>
      <c r="H231" t="s">
        <v>535</v>
      </c>
      <c r="I231" t="s">
        <v>545</v>
      </c>
      <c r="J231" t="s">
        <v>247</v>
      </c>
      <c r="K231" t="s">
        <v>390</v>
      </c>
      <c r="L231" t="s">
        <v>519</v>
      </c>
      <c r="M231" t="s">
        <v>5</v>
      </c>
      <c r="N231" t="s">
        <v>5</v>
      </c>
      <c r="O231" t="s">
        <v>5</v>
      </c>
    </row>
    <row r="232" spans="1:15" x14ac:dyDescent="0.35">
      <c r="A232" t="s">
        <v>389</v>
      </c>
      <c r="B232" t="s">
        <v>392</v>
      </c>
      <c r="C232" t="s">
        <v>515</v>
      </c>
      <c r="D232" t="s">
        <v>3</v>
      </c>
      <c r="E232" t="s">
        <v>3</v>
      </c>
      <c r="F232" t="s">
        <v>516</v>
      </c>
      <c r="G232" t="s">
        <v>516</v>
      </c>
      <c r="H232" t="s">
        <v>545</v>
      </c>
      <c r="I232" t="s">
        <v>545</v>
      </c>
      <c r="J232" t="s">
        <v>390</v>
      </c>
      <c r="K232" t="s">
        <v>393</v>
      </c>
      <c r="L232" t="s">
        <v>519</v>
      </c>
      <c r="M232" t="s">
        <v>5</v>
      </c>
      <c r="N232" t="s">
        <v>5</v>
      </c>
      <c r="O232" t="s">
        <v>5</v>
      </c>
    </row>
    <row r="233" spans="1:15" x14ac:dyDescent="0.35">
      <c r="A233" t="s">
        <v>392</v>
      </c>
      <c r="B233" t="s">
        <v>395</v>
      </c>
      <c r="C233" t="s">
        <v>515</v>
      </c>
      <c r="D233" t="s">
        <v>3</v>
      </c>
      <c r="E233" t="s">
        <v>3</v>
      </c>
      <c r="F233" t="s">
        <v>516</v>
      </c>
      <c r="G233" t="s">
        <v>516</v>
      </c>
      <c r="H233" t="s">
        <v>545</v>
      </c>
      <c r="I233" t="s">
        <v>545</v>
      </c>
      <c r="J233" t="s">
        <v>393</v>
      </c>
      <c r="K233" t="s">
        <v>396</v>
      </c>
      <c r="L233" t="s">
        <v>519</v>
      </c>
      <c r="M233" t="s">
        <v>5</v>
      </c>
      <c r="N233" t="s">
        <v>5</v>
      </c>
      <c r="O233" t="s">
        <v>5</v>
      </c>
    </row>
    <row r="234" spans="1:15" x14ac:dyDescent="0.35">
      <c r="A234" t="s">
        <v>395</v>
      </c>
      <c r="B234" t="s">
        <v>398</v>
      </c>
      <c r="C234" t="s">
        <v>515</v>
      </c>
      <c r="D234" t="s">
        <v>3</v>
      </c>
      <c r="E234" t="s">
        <v>3</v>
      </c>
      <c r="F234" t="s">
        <v>516</v>
      </c>
      <c r="G234" t="s">
        <v>516</v>
      </c>
      <c r="H234" t="s">
        <v>545</v>
      </c>
      <c r="I234" t="s">
        <v>545</v>
      </c>
      <c r="J234" t="s">
        <v>396</v>
      </c>
      <c r="K234" t="s">
        <v>399</v>
      </c>
      <c r="L234" t="s">
        <v>519</v>
      </c>
      <c r="M234" t="s">
        <v>5</v>
      </c>
      <c r="N234" t="s">
        <v>5</v>
      </c>
      <c r="O234" t="s">
        <v>5</v>
      </c>
    </row>
    <row r="235" spans="1:15" x14ac:dyDescent="0.35">
      <c r="A235" t="s">
        <v>398</v>
      </c>
      <c r="B235" t="s">
        <v>401</v>
      </c>
      <c r="C235" t="s">
        <v>515</v>
      </c>
      <c r="D235" t="s">
        <v>3</v>
      </c>
      <c r="E235" t="s">
        <v>3</v>
      </c>
      <c r="F235" t="s">
        <v>516</v>
      </c>
      <c r="G235" t="s">
        <v>516</v>
      </c>
      <c r="H235" t="s">
        <v>545</v>
      </c>
      <c r="I235" t="s">
        <v>545</v>
      </c>
      <c r="J235" t="s">
        <v>399</v>
      </c>
      <c r="K235" t="s">
        <v>402</v>
      </c>
      <c r="L235" t="s">
        <v>519</v>
      </c>
      <c r="M235" t="s">
        <v>5</v>
      </c>
      <c r="N235" t="s">
        <v>5</v>
      </c>
      <c r="O235" t="s">
        <v>5</v>
      </c>
    </row>
    <row r="236" spans="1:15" x14ac:dyDescent="0.35">
      <c r="A236" t="s">
        <v>401</v>
      </c>
      <c r="B236" t="s">
        <v>404</v>
      </c>
      <c r="C236" t="s">
        <v>515</v>
      </c>
      <c r="D236" t="s">
        <v>3</v>
      </c>
      <c r="E236" t="s">
        <v>3</v>
      </c>
      <c r="F236" t="s">
        <v>516</v>
      </c>
      <c r="G236" t="s">
        <v>516</v>
      </c>
      <c r="H236" t="s">
        <v>545</v>
      </c>
      <c r="I236" t="s">
        <v>545</v>
      </c>
      <c r="J236" t="s">
        <v>402</v>
      </c>
      <c r="K236" t="s">
        <v>405</v>
      </c>
      <c r="L236" t="s">
        <v>519</v>
      </c>
      <c r="M236" t="s">
        <v>5</v>
      </c>
      <c r="N236" t="s">
        <v>5</v>
      </c>
      <c r="O236" t="s">
        <v>5</v>
      </c>
    </row>
    <row r="237" spans="1:15" x14ac:dyDescent="0.35">
      <c r="A237" t="s">
        <v>404</v>
      </c>
      <c r="B237" t="s">
        <v>407</v>
      </c>
      <c r="C237" t="s">
        <v>515</v>
      </c>
      <c r="D237" t="s">
        <v>3</v>
      </c>
      <c r="E237" t="s">
        <v>3</v>
      </c>
      <c r="F237" t="s">
        <v>516</v>
      </c>
      <c r="G237" t="s">
        <v>516</v>
      </c>
      <c r="H237" t="s">
        <v>545</v>
      </c>
      <c r="I237" t="s">
        <v>545</v>
      </c>
      <c r="J237" t="s">
        <v>405</v>
      </c>
      <c r="K237" t="s">
        <v>408</v>
      </c>
      <c r="L237" t="s">
        <v>519</v>
      </c>
      <c r="M237" t="s">
        <v>5</v>
      </c>
      <c r="N237" t="s">
        <v>5</v>
      </c>
      <c r="O237" t="s">
        <v>5</v>
      </c>
    </row>
    <row r="238" spans="1:15" x14ac:dyDescent="0.35">
      <c r="A238" t="s">
        <v>407</v>
      </c>
      <c r="B238" t="s">
        <v>409</v>
      </c>
      <c r="C238" t="s">
        <v>515</v>
      </c>
      <c r="D238" t="s">
        <v>3</v>
      </c>
      <c r="E238" t="s">
        <v>11</v>
      </c>
      <c r="F238" t="s">
        <v>516</v>
      </c>
      <c r="G238" t="s">
        <v>516</v>
      </c>
      <c r="H238" t="s">
        <v>545</v>
      </c>
      <c r="I238" t="s">
        <v>545</v>
      </c>
      <c r="J238" t="s">
        <v>408</v>
      </c>
      <c r="K238" t="s">
        <v>410</v>
      </c>
      <c r="L238" t="s">
        <v>519</v>
      </c>
      <c r="M238" t="s">
        <v>5</v>
      </c>
      <c r="N238" t="s">
        <v>5</v>
      </c>
      <c r="O238" t="s">
        <v>5</v>
      </c>
    </row>
    <row r="239" spans="1:15" x14ac:dyDescent="0.35">
      <c r="A239" t="s">
        <v>248</v>
      </c>
      <c r="B239" t="s">
        <v>409</v>
      </c>
      <c r="C239" t="s">
        <v>515</v>
      </c>
      <c r="D239" t="s">
        <v>3</v>
      </c>
      <c r="E239" t="s">
        <v>11</v>
      </c>
      <c r="F239" t="s">
        <v>516</v>
      </c>
      <c r="G239" t="s">
        <v>516</v>
      </c>
      <c r="H239" t="s">
        <v>535</v>
      </c>
      <c r="I239" t="s">
        <v>545</v>
      </c>
      <c r="J239" t="s">
        <v>249</v>
      </c>
      <c r="K239" t="s">
        <v>410</v>
      </c>
      <c r="L239" t="s">
        <v>519</v>
      </c>
      <c r="M239" t="s">
        <v>5</v>
      </c>
      <c r="N239" t="s">
        <v>5</v>
      </c>
      <c r="O239" t="s">
        <v>5</v>
      </c>
    </row>
    <row r="240" spans="1:15" x14ac:dyDescent="0.35">
      <c r="A240" t="s">
        <v>387</v>
      </c>
      <c r="B240" t="s">
        <v>411</v>
      </c>
      <c r="C240" t="s">
        <v>515</v>
      </c>
      <c r="D240" t="s">
        <v>3</v>
      </c>
      <c r="E240" t="s">
        <v>3</v>
      </c>
      <c r="F240" t="s">
        <v>516</v>
      </c>
      <c r="G240" t="s">
        <v>516</v>
      </c>
      <c r="H240" t="s">
        <v>544</v>
      </c>
      <c r="I240" t="s">
        <v>546</v>
      </c>
      <c r="J240" t="s">
        <v>388</v>
      </c>
      <c r="K240" t="s">
        <v>412</v>
      </c>
      <c r="L240" t="s">
        <v>519</v>
      </c>
      <c r="M240" t="s">
        <v>5</v>
      </c>
      <c r="N240" t="s">
        <v>5</v>
      </c>
      <c r="O240" t="s">
        <v>5</v>
      </c>
    </row>
    <row r="241" spans="1:15" x14ac:dyDescent="0.35">
      <c r="A241" t="s">
        <v>387</v>
      </c>
      <c r="B241" t="s">
        <v>413</v>
      </c>
      <c r="C241" t="s">
        <v>515</v>
      </c>
      <c r="D241" t="s">
        <v>3</v>
      </c>
      <c r="E241" t="s">
        <v>3</v>
      </c>
      <c r="F241" t="s">
        <v>516</v>
      </c>
      <c r="G241" t="s">
        <v>516</v>
      </c>
      <c r="H241" t="s">
        <v>544</v>
      </c>
      <c r="I241" t="s">
        <v>546</v>
      </c>
      <c r="J241" t="s">
        <v>388</v>
      </c>
      <c r="K241" t="s">
        <v>414</v>
      </c>
      <c r="L241" t="s">
        <v>519</v>
      </c>
      <c r="M241" t="s">
        <v>5</v>
      </c>
      <c r="N241" t="s">
        <v>5</v>
      </c>
      <c r="O241" t="s">
        <v>5</v>
      </c>
    </row>
    <row r="242" spans="1:15" x14ac:dyDescent="0.35">
      <c r="A242" t="s">
        <v>395</v>
      </c>
      <c r="B242" t="s">
        <v>415</v>
      </c>
      <c r="C242" t="s">
        <v>515</v>
      </c>
      <c r="D242" t="s">
        <v>3</v>
      </c>
      <c r="E242" t="s">
        <v>3</v>
      </c>
      <c r="F242" t="s">
        <v>516</v>
      </c>
      <c r="G242" t="s">
        <v>516</v>
      </c>
      <c r="H242" t="s">
        <v>545</v>
      </c>
      <c r="I242" t="s">
        <v>546</v>
      </c>
      <c r="J242" t="s">
        <v>396</v>
      </c>
      <c r="K242" t="s">
        <v>416</v>
      </c>
      <c r="L242" t="s">
        <v>519</v>
      </c>
      <c r="M242" t="s">
        <v>5</v>
      </c>
      <c r="N242" t="s">
        <v>5</v>
      </c>
      <c r="O242" t="s">
        <v>5</v>
      </c>
    </row>
    <row r="243" spans="1:15" x14ac:dyDescent="0.35">
      <c r="A243" t="s">
        <v>409</v>
      </c>
      <c r="B243" t="s">
        <v>417</v>
      </c>
      <c r="C243" t="s">
        <v>515</v>
      </c>
      <c r="D243" t="s">
        <v>11</v>
      </c>
      <c r="E243" t="s">
        <v>11</v>
      </c>
      <c r="F243" t="s">
        <v>516</v>
      </c>
      <c r="G243" t="s">
        <v>516</v>
      </c>
      <c r="H243" t="s">
        <v>545</v>
      </c>
      <c r="I243" t="s">
        <v>527</v>
      </c>
      <c r="J243" t="s">
        <v>410</v>
      </c>
      <c r="K243" t="s">
        <v>418</v>
      </c>
      <c r="L243" t="s">
        <v>519</v>
      </c>
      <c r="M243" t="s">
        <v>5</v>
      </c>
      <c r="N243" t="s">
        <v>5</v>
      </c>
      <c r="O243" t="s">
        <v>5</v>
      </c>
    </row>
    <row r="244" spans="1:15" x14ac:dyDescent="0.35">
      <c r="A244" t="s">
        <v>411</v>
      </c>
      <c r="B244" t="s">
        <v>417</v>
      </c>
      <c r="C244" t="s">
        <v>515</v>
      </c>
      <c r="D244" t="s">
        <v>3</v>
      </c>
      <c r="E244" t="s">
        <v>11</v>
      </c>
      <c r="F244" t="s">
        <v>516</v>
      </c>
      <c r="G244" t="s">
        <v>516</v>
      </c>
      <c r="H244" t="s">
        <v>546</v>
      </c>
      <c r="I244" t="s">
        <v>527</v>
      </c>
      <c r="J244" t="s">
        <v>412</v>
      </c>
      <c r="K244" t="s">
        <v>418</v>
      </c>
      <c r="L244" t="s">
        <v>519</v>
      </c>
      <c r="M244" t="s">
        <v>5</v>
      </c>
      <c r="N244" t="s">
        <v>5</v>
      </c>
      <c r="O244" t="s">
        <v>5</v>
      </c>
    </row>
    <row r="245" spans="1:15" x14ac:dyDescent="0.35">
      <c r="A245" t="s">
        <v>413</v>
      </c>
      <c r="B245" t="s">
        <v>417</v>
      </c>
      <c r="C245" t="s">
        <v>515</v>
      </c>
      <c r="D245" t="s">
        <v>3</v>
      </c>
      <c r="E245" t="s">
        <v>11</v>
      </c>
      <c r="F245" t="s">
        <v>516</v>
      </c>
      <c r="G245" t="s">
        <v>516</v>
      </c>
      <c r="H245" t="s">
        <v>546</v>
      </c>
      <c r="I245" t="s">
        <v>527</v>
      </c>
      <c r="J245" t="s">
        <v>414</v>
      </c>
      <c r="K245" t="s">
        <v>418</v>
      </c>
      <c r="L245" t="s">
        <v>519</v>
      </c>
      <c r="M245" t="s">
        <v>5</v>
      </c>
      <c r="N245" t="s">
        <v>5</v>
      </c>
      <c r="O245" t="s">
        <v>5</v>
      </c>
    </row>
    <row r="246" spans="1:15" x14ac:dyDescent="0.35">
      <c r="A246" t="s">
        <v>417</v>
      </c>
      <c r="B246" t="s">
        <v>419</v>
      </c>
      <c r="C246" t="s">
        <v>515</v>
      </c>
      <c r="D246" t="s">
        <v>11</v>
      </c>
      <c r="E246" t="s">
        <v>11</v>
      </c>
      <c r="F246" t="s">
        <v>516</v>
      </c>
      <c r="G246" t="s">
        <v>516</v>
      </c>
      <c r="H246" t="s">
        <v>527</v>
      </c>
      <c r="I246" t="s">
        <v>527</v>
      </c>
      <c r="J246" t="s">
        <v>418</v>
      </c>
      <c r="K246" t="s">
        <v>420</v>
      </c>
      <c r="L246" t="s">
        <v>519</v>
      </c>
      <c r="M246" t="s">
        <v>5</v>
      </c>
      <c r="N246" t="s">
        <v>5</v>
      </c>
      <c r="O246" t="s">
        <v>5</v>
      </c>
    </row>
    <row r="247" spans="1:15" x14ac:dyDescent="0.35">
      <c r="A247" t="s">
        <v>419</v>
      </c>
      <c r="B247" t="s">
        <v>421</v>
      </c>
      <c r="C247" t="s">
        <v>515</v>
      </c>
      <c r="D247" t="s">
        <v>11</v>
      </c>
      <c r="E247" t="s">
        <v>11</v>
      </c>
      <c r="F247" t="s">
        <v>516</v>
      </c>
      <c r="G247" t="s">
        <v>516</v>
      </c>
      <c r="H247" t="s">
        <v>527</v>
      </c>
      <c r="I247" t="s">
        <v>527</v>
      </c>
      <c r="J247" t="s">
        <v>420</v>
      </c>
      <c r="K247" t="s">
        <v>422</v>
      </c>
      <c r="L247" t="s">
        <v>519</v>
      </c>
      <c r="M247" t="s">
        <v>5</v>
      </c>
      <c r="N247" t="s">
        <v>5</v>
      </c>
      <c r="O247" t="s">
        <v>5</v>
      </c>
    </row>
    <row r="248" spans="1:15" x14ac:dyDescent="0.35">
      <c r="A248" t="s">
        <v>421</v>
      </c>
      <c r="B248" t="s">
        <v>423</v>
      </c>
      <c r="C248" t="s">
        <v>515</v>
      </c>
      <c r="D248" t="s">
        <v>11</v>
      </c>
      <c r="E248" t="s">
        <v>11</v>
      </c>
      <c r="F248" t="s">
        <v>516</v>
      </c>
      <c r="G248" t="s">
        <v>516</v>
      </c>
      <c r="H248" t="s">
        <v>527</v>
      </c>
      <c r="I248" t="s">
        <v>527</v>
      </c>
      <c r="J248" t="s">
        <v>422</v>
      </c>
      <c r="K248" t="s">
        <v>424</v>
      </c>
      <c r="L248" t="s">
        <v>519</v>
      </c>
      <c r="M248" t="s">
        <v>5</v>
      </c>
      <c r="N248" t="s">
        <v>5</v>
      </c>
      <c r="O248" t="s">
        <v>5</v>
      </c>
    </row>
    <row r="249" spans="1:15" x14ac:dyDescent="0.35">
      <c r="A249" t="s">
        <v>423</v>
      </c>
      <c r="B249" t="s">
        <v>425</v>
      </c>
      <c r="C249" t="s">
        <v>515</v>
      </c>
      <c r="D249" t="s">
        <v>11</v>
      </c>
      <c r="E249" t="s">
        <v>11</v>
      </c>
      <c r="F249" t="s">
        <v>516</v>
      </c>
      <c r="G249" t="s">
        <v>516</v>
      </c>
      <c r="H249" t="s">
        <v>527</v>
      </c>
      <c r="I249" t="s">
        <v>527</v>
      </c>
      <c r="J249" t="s">
        <v>424</v>
      </c>
      <c r="K249" t="s">
        <v>426</v>
      </c>
      <c r="L249" t="s">
        <v>519</v>
      </c>
      <c r="M249" t="s">
        <v>5</v>
      </c>
      <c r="N249" t="s">
        <v>5</v>
      </c>
      <c r="O249" t="s">
        <v>5</v>
      </c>
    </row>
    <row r="250" spans="1:15" x14ac:dyDescent="0.35">
      <c r="A250" t="s">
        <v>10</v>
      </c>
      <c r="B250" t="s">
        <v>427</v>
      </c>
      <c r="C250" t="s">
        <v>515</v>
      </c>
      <c r="D250" t="s">
        <v>11</v>
      </c>
      <c r="E250" t="s">
        <v>11</v>
      </c>
      <c r="F250" t="s">
        <v>516</v>
      </c>
      <c r="G250" t="s">
        <v>516</v>
      </c>
      <c r="H250" t="s">
        <v>518</v>
      </c>
      <c r="I250" t="s">
        <v>528</v>
      </c>
      <c r="J250" t="s">
        <v>12</v>
      </c>
      <c r="K250" t="s">
        <v>428</v>
      </c>
      <c r="L250" t="s">
        <v>519</v>
      </c>
      <c r="M250" t="s">
        <v>5</v>
      </c>
      <c r="N250" t="s">
        <v>5</v>
      </c>
      <c r="O250" t="s">
        <v>5</v>
      </c>
    </row>
    <row r="251" spans="1:15" x14ac:dyDescent="0.35">
      <c r="A251" t="s">
        <v>13</v>
      </c>
      <c r="B251" t="s">
        <v>427</v>
      </c>
      <c r="C251" t="s">
        <v>515</v>
      </c>
      <c r="D251" t="s">
        <v>11</v>
      </c>
      <c r="E251" t="s">
        <v>11</v>
      </c>
      <c r="F251" t="s">
        <v>516</v>
      </c>
      <c r="G251" t="s">
        <v>516</v>
      </c>
      <c r="H251" t="s">
        <v>518</v>
      </c>
      <c r="I251" t="s">
        <v>528</v>
      </c>
      <c r="J251" t="s">
        <v>14</v>
      </c>
      <c r="K251" t="s">
        <v>428</v>
      </c>
      <c r="L251" t="s">
        <v>519</v>
      </c>
      <c r="M251" t="s">
        <v>5</v>
      </c>
      <c r="N251" t="s">
        <v>5</v>
      </c>
      <c r="O251" t="s">
        <v>5</v>
      </c>
    </row>
    <row r="252" spans="1:15" x14ac:dyDescent="0.35">
      <c r="A252" t="s">
        <v>323</v>
      </c>
      <c r="B252" t="s">
        <v>430</v>
      </c>
      <c r="C252" t="s">
        <v>515</v>
      </c>
      <c r="D252" t="s">
        <v>11</v>
      </c>
      <c r="E252" t="s">
        <v>11</v>
      </c>
      <c r="F252" t="s">
        <v>516</v>
      </c>
      <c r="G252" t="s">
        <v>516</v>
      </c>
      <c r="H252" t="s">
        <v>540</v>
      </c>
      <c r="I252" t="s">
        <v>528</v>
      </c>
      <c r="J252" t="s">
        <v>324</v>
      </c>
      <c r="K252" t="s">
        <v>431</v>
      </c>
      <c r="L252" t="s">
        <v>519</v>
      </c>
      <c r="M252" t="s">
        <v>5</v>
      </c>
      <c r="N252" t="s">
        <v>5</v>
      </c>
      <c r="O252" t="s">
        <v>5</v>
      </c>
    </row>
    <row r="253" spans="1:15" x14ac:dyDescent="0.35">
      <c r="A253" t="s">
        <v>344</v>
      </c>
      <c r="B253" t="s">
        <v>432</v>
      </c>
      <c r="C253" t="s">
        <v>515</v>
      </c>
      <c r="D253" t="s">
        <v>11</v>
      </c>
      <c r="E253" t="s">
        <v>11</v>
      </c>
      <c r="F253" t="s">
        <v>516</v>
      </c>
      <c r="G253" t="s">
        <v>516</v>
      </c>
      <c r="H253" t="s">
        <v>541</v>
      </c>
      <c r="I253" t="s">
        <v>528</v>
      </c>
      <c r="J253" t="s">
        <v>345</v>
      </c>
      <c r="K253" t="s">
        <v>433</v>
      </c>
      <c r="L253" t="s">
        <v>519</v>
      </c>
      <c r="M253" t="s">
        <v>5</v>
      </c>
      <c r="N253" t="s">
        <v>5</v>
      </c>
      <c r="O253" t="s">
        <v>5</v>
      </c>
    </row>
    <row r="254" spans="1:15" x14ac:dyDescent="0.35">
      <c r="A254" t="s">
        <v>344</v>
      </c>
      <c r="B254" t="s">
        <v>434</v>
      </c>
      <c r="C254" t="s">
        <v>515</v>
      </c>
      <c r="D254" t="s">
        <v>11</v>
      </c>
      <c r="E254" t="s">
        <v>11</v>
      </c>
      <c r="F254" t="s">
        <v>516</v>
      </c>
      <c r="G254" t="s">
        <v>516</v>
      </c>
      <c r="H254" t="s">
        <v>541</v>
      </c>
      <c r="I254" t="s">
        <v>528</v>
      </c>
      <c r="J254" t="s">
        <v>345</v>
      </c>
      <c r="K254" t="s">
        <v>435</v>
      </c>
      <c r="L254" t="s">
        <v>519</v>
      </c>
      <c r="M254" t="s">
        <v>5</v>
      </c>
      <c r="N254" t="s">
        <v>5</v>
      </c>
      <c r="O254" t="s">
        <v>5</v>
      </c>
    </row>
    <row r="255" spans="1:15" x14ac:dyDescent="0.35">
      <c r="A255" t="s">
        <v>358</v>
      </c>
      <c r="B255" t="s">
        <v>436</v>
      </c>
      <c r="C255" t="s">
        <v>515</v>
      </c>
      <c r="D255" t="s">
        <v>11</v>
      </c>
      <c r="E255" t="s">
        <v>11</v>
      </c>
      <c r="F255" t="s">
        <v>516</v>
      </c>
      <c r="G255" t="s">
        <v>516</v>
      </c>
      <c r="H255" t="s">
        <v>542</v>
      </c>
      <c r="I255" t="s">
        <v>528</v>
      </c>
      <c r="J255" t="s">
        <v>359</v>
      </c>
      <c r="K255" t="s">
        <v>437</v>
      </c>
      <c r="L255" t="s">
        <v>519</v>
      </c>
      <c r="M255" t="s">
        <v>5</v>
      </c>
      <c r="N255" t="s">
        <v>5</v>
      </c>
      <c r="O255" t="s">
        <v>5</v>
      </c>
    </row>
    <row r="256" spans="1:15" x14ac:dyDescent="0.35">
      <c r="A256" t="s">
        <v>434</v>
      </c>
      <c r="B256" t="s">
        <v>436</v>
      </c>
      <c r="C256" t="s">
        <v>515</v>
      </c>
      <c r="D256" t="s">
        <v>11</v>
      </c>
      <c r="E256" t="s">
        <v>11</v>
      </c>
      <c r="F256" t="s">
        <v>516</v>
      </c>
      <c r="G256" t="s">
        <v>516</v>
      </c>
      <c r="H256" t="s">
        <v>528</v>
      </c>
      <c r="I256" t="s">
        <v>528</v>
      </c>
      <c r="J256" t="s">
        <v>435</v>
      </c>
      <c r="K256" t="s">
        <v>437</v>
      </c>
      <c r="L256" t="s">
        <v>519</v>
      </c>
      <c r="M256" t="s">
        <v>5</v>
      </c>
      <c r="N256" t="s">
        <v>5</v>
      </c>
      <c r="O256" t="s">
        <v>5</v>
      </c>
    </row>
    <row r="257" spans="1:15" x14ac:dyDescent="0.35">
      <c r="A257" t="s">
        <v>436</v>
      </c>
      <c r="B257" t="s">
        <v>438</v>
      </c>
      <c r="C257" t="s">
        <v>515</v>
      </c>
      <c r="D257" t="s">
        <v>11</v>
      </c>
      <c r="E257" t="s">
        <v>11</v>
      </c>
      <c r="F257" t="s">
        <v>516</v>
      </c>
      <c r="G257" t="s">
        <v>516</v>
      </c>
      <c r="H257" t="s">
        <v>528</v>
      </c>
      <c r="I257" t="s">
        <v>528</v>
      </c>
      <c r="J257" t="s">
        <v>437</v>
      </c>
      <c r="K257" t="s">
        <v>439</v>
      </c>
      <c r="L257" t="s">
        <v>519</v>
      </c>
      <c r="M257" t="s">
        <v>5</v>
      </c>
      <c r="N257" t="s">
        <v>5</v>
      </c>
      <c r="O257" t="s">
        <v>5</v>
      </c>
    </row>
    <row r="258" spans="1:15" x14ac:dyDescent="0.35">
      <c r="A258" t="s">
        <v>427</v>
      </c>
      <c r="B258" t="s">
        <v>440</v>
      </c>
      <c r="C258" t="s">
        <v>515</v>
      </c>
      <c r="D258" t="s">
        <v>11</v>
      </c>
      <c r="E258" t="s">
        <v>11</v>
      </c>
      <c r="F258" t="s">
        <v>516</v>
      </c>
      <c r="G258" t="s">
        <v>516</v>
      </c>
      <c r="H258" t="s">
        <v>528</v>
      </c>
      <c r="I258" t="s">
        <v>528</v>
      </c>
      <c r="J258" t="s">
        <v>428</v>
      </c>
      <c r="K258" t="s">
        <v>441</v>
      </c>
      <c r="L258" t="s">
        <v>519</v>
      </c>
      <c r="M258" t="s">
        <v>5</v>
      </c>
      <c r="N258" t="s">
        <v>5</v>
      </c>
      <c r="O258" t="s">
        <v>5</v>
      </c>
    </row>
    <row r="259" spans="1:15" x14ac:dyDescent="0.35">
      <c r="A259" t="s">
        <v>438</v>
      </c>
      <c r="B259" t="s">
        <v>440</v>
      </c>
      <c r="C259" t="s">
        <v>515</v>
      </c>
      <c r="D259" t="s">
        <v>11</v>
      </c>
      <c r="E259" t="s">
        <v>11</v>
      </c>
      <c r="F259" t="s">
        <v>516</v>
      </c>
      <c r="G259" t="s">
        <v>516</v>
      </c>
      <c r="H259" t="s">
        <v>528</v>
      </c>
      <c r="I259" t="s">
        <v>528</v>
      </c>
      <c r="J259" t="s">
        <v>439</v>
      </c>
      <c r="K259" t="s">
        <v>441</v>
      </c>
      <c r="L259" t="s">
        <v>519</v>
      </c>
      <c r="M259" t="s">
        <v>5</v>
      </c>
      <c r="N259" t="s">
        <v>5</v>
      </c>
      <c r="O259" t="s">
        <v>5</v>
      </c>
    </row>
    <row r="260" spans="1:15" x14ac:dyDescent="0.35">
      <c r="A260" t="s">
        <v>430</v>
      </c>
      <c r="B260" t="s">
        <v>440</v>
      </c>
      <c r="C260" t="s">
        <v>515</v>
      </c>
      <c r="D260" t="s">
        <v>11</v>
      </c>
      <c r="E260" t="s">
        <v>11</v>
      </c>
      <c r="F260" t="s">
        <v>516</v>
      </c>
      <c r="G260" t="s">
        <v>516</v>
      </c>
      <c r="H260" t="s">
        <v>528</v>
      </c>
      <c r="I260" t="s">
        <v>528</v>
      </c>
      <c r="J260" t="s">
        <v>431</v>
      </c>
      <c r="K260" t="s">
        <v>441</v>
      </c>
      <c r="L260" t="s">
        <v>519</v>
      </c>
      <c r="M260" t="s">
        <v>5</v>
      </c>
      <c r="N260" t="s">
        <v>5</v>
      </c>
      <c r="O260" t="s">
        <v>5</v>
      </c>
    </row>
    <row r="261" spans="1:15" x14ac:dyDescent="0.35">
      <c r="A261" t="s">
        <v>432</v>
      </c>
      <c r="B261" t="s">
        <v>440</v>
      </c>
      <c r="C261" t="s">
        <v>515</v>
      </c>
      <c r="D261" t="s">
        <v>11</v>
      </c>
      <c r="E261" t="s">
        <v>11</v>
      </c>
      <c r="F261" t="s">
        <v>516</v>
      </c>
      <c r="G261" t="s">
        <v>516</v>
      </c>
      <c r="H261" t="s">
        <v>528</v>
      </c>
      <c r="I261" t="s">
        <v>528</v>
      </c>
      <c r="J261" t="s">
        <v>433</v>
      </c>
      <c r="K261" t="s">
        <v>441</v>
      </c>
      <c r="L261" t="s">
        <v>519</v>
      </c>
      <c r="M261" t="s">
        <v>5</v>
      </c>
      <c r="N261" t="s">
        <v>5</v>
      </c>
      <c r="O261" t="s">
        <v>5</v>
      </c>
    </row>
    <row r="262" spans="1:15" x14ac:dyDescent="0.35">
      <c r="A262" t="s">
        <v>15</v>
      </c>
      <c r="B262" t="s">
        <v>442</v>
      </c>
      <c r="C262" t="s">
        <v>515</v>
      </c>
      <c r="D262" t="s">
        <v>11</v>
      </c>
      <c r="E262" t="s">
        <v>11</v>
      </c>
      <c r="F262" t="s">
        <v>516</v>
      </c>
      <c r="G262" t="s">
        <v>516</v>
      </c>
      <c r="H262" t="s">
        <v>518</v>
      </c>
      <c r="I262" t="s">
        <v>529</v>
      </c>
      <c r="J262" t="s">
        <v>16</v>
      </c>
      <c r="K262" t="s">
        <v>443</v>
      </c>
      <c r="L262" t="s">
        <v>519</v>
      </c>
      <c r="M262" t="s">
        <v>5</v>
      </c>
      <c r="N262" t="s">
        <v>5</v>
      </c>
      <c r="O262" t="s">
        <v>5</v>
      </c>
    </row>
    <row r="263" spans="1:15" x14ac:dyDescent="0.35">
      <c r="A263" t="s">
        <v>442</v>
      </c>
      <c r="B263" t="s">
        <v>445</v>
      </c>
      <c r="C263" t="s">
        <v>515</v>
      </c>
      <c r="D263" t="s">
        <v>11</v>
      </c>
      <c r="E263" t="s">
        <v>11</v>
      </c>
      <c r="F263" t="s">
        <v>516</v>
      </c>
      <c r="G263" t="s">
        <v>516</v>
      </c>
      <c r="H263" t="s">
        <v>529</v>
      </c>
      <c r="I263" t="s">
        <v>529</v>
      </c>
      <c r="J263" t="s">
        <v>443</v>
      </c>
      <c r="K263" t="s">
        <v>446</v>
      </c>
      <c r="L263" t="s">
        <v>519</v>
      </c>
      <c r="M263" t="s">
        <v>5</v>
      </c>
      <c r="N263" t="s">
        <v>5</v>
      </c>
      <c r="O263" t="s">
        <v>5</v>
      </c>
    </row>
    <row r="264" spans="1:15" x14ac:dyDescent="0.35">
      <c r="A264" t="s">
        <v>445</v>
      </c>
      <c r="B264" t="s">
        <v>447</v>
      </c>
      <c r="C264" t="s">
        <v>515</v>
      </c>
      <c r="D264" t="s">
        <v>11</v>
      </c>
      <c r="E264" t="s">
        <v>11</v>
      </c>
      <c r="F264" t="s">
        <v>516</v>
      </c>
      <c r="G264" t="s">
        <v>516</v>
      </c>
      <c r="H264" t="s">
        <v>529</v>
      </c>
      <c r="I264" t="s">
        <v>529</v>
      </c>
      <c r="J264" t="s">
        <v>446</v>
      </c>
      <c r="K264" t="s">
        <v>448</v>
      </c>
      <c r="L264" t="s">
        <v>519</v>
      </c>
      <c r="M264" t="s">
        <v>5</v>
      </c>
      <c r="N264" t="s">
        <v>5</v>
      </c>
      <c r="O264" t="s">
        <v>5</v>
      </c>
    </row>
    <row r="265" spans="1:15" x14ac:dyDescent="0.35">
      <c r="A265" t="s">
        <v>440</v>
      </c>
      <c r="B265" t="s">
        <v>449</v>
      </c>
      <c r="C265" t="s">
        <v>515</v>
      </c>
      <c r="D265" t="s">
        <v>11</v>
      </c>
      <c r="E265" t="s">
        <v>11</v>
      </c>
      <c r="F265" t="s">
        <v>516</v>
      </c>
      <c r="G265" t="s">
        <v>516</v>
      </c>
      <c r="H265" t="s">
        <v>528</v>
      </c>
      <c r="I265" t="s">
        <v>529</v>
      </c>
      <c r="J265" t="s">
        <v>441</v>
      </c>
      <c r="K265" t="s">
        <v>450</v>
      </c>
      <c r="L265" t="s">
        <v>519</v>
      </c>
      <c r="M265" t="s">
        <v>5</v>
      </c>
      <c r="N265" t="s">
        <v>5</v>
      </c>
      <c r="O265" t="s">
        <v>5</v>
      </c>
    </row>
    <row r="266" spans="1:15" x14ac:dyDescent="0.35">
      <c r="A266" t="s">
        <v>447</v>
      </c>
      <c r="B266" t="s">
        <v>451</v>
      </c>
      <c r="C266" t="s">
        <v>515</v>
      </c>
      <c r="D266" t="s">
        <v>11</v>
      </c>
      <c r="E266" t="s">
        <v>11</v>
      </c>
      <c r="F266" t="s">
        <v>516</v>
      </c>
      <c r="G266" t="s">
        <v>516</v>
      </c>
      <c r="H266" t="s">
        <v>529</v>
      </c>
      <c r="I266" t="s">
        <v>529</v>
      </c>
      <c r="J266" t="s">
        <v>448</v>
      </c>
      <c r="K266" t="s">
        <v>452</v>
      </c>
      <c r="L266" t="s">
        <v>519</v>
      </c>
      <c r="M266" t="s">
        <v>5</v>
      </c>
      <c r="N266" t="s">
        <v>5</v>
      </c>
      <c r="O266" t="s">
        <v>5</v>
      </c>
    </row>
    <row r="267" spans="1:15" x14ac:dyDescent="0.35">
      <c r="A267" t="s">
        <v>451</v>
      </c>
      <c r="B267" t="s">
        <v>453</v>
      </c>
      <c r="C267" t="s">
        <v>515</v>
      </c>
      <c r="D267" t="s">
        <v>11</v>
      </c>
      <c r="E267" t="s">
        <v>11</v>
      </c>
      <c r="F267" t="s">
        <v>516</v>
      </c>
      <c r="G267" t="s">
        <v>516</v>
      </c>
      <c r="H267" t="s">
        <v>529</v>
      </c>
      <c r="I267" t="s">
        <v>529</v>
      </c>
      <c r="J267" t="s">
        <v>452</v>
      </c>
      <c r="K267" t="s">
        <v>454</v>
      </c>
      <c r="L267" t="s">
        <v>519</v>
      </c>
      <c r="M267" t="s">
        <v>5</v>
      </c>
      <c r="N267" t="s">
        <v>5</v>
      </c>
      <c r="O267" t="s">
        <v>5</v>
      </c>
    </row>
    <row r="268" spans="1:15" x14ac:dyDescent="0.35">
      <c r="A268" t="s">
        <v>453</v>
      </c>
      <c r="B268" t="s">
        <v>455</v>
      </c>
      <c r="C268" t="s">
        <v>515</v>
      </c>
      <c r="D268" t="s">
        <v>11</v>
      </c>
      <c r="E268" t="s">
        <v>11</v>
      </c>
      <c r="F268" t="s">
        <v>516</v>
      </c>
      <c r="G268" t="s">
        <v>516</v>
      </c>
      <c r="H268" t="s">
        <v>529</v>
      </c>
      <c r="I268" t="s">
        <v>529</v>
      </c>
      <c r="J268" t="s">
        <v>454</v>
      </c>
      <c r="K268" t="s">
        <v>456</v>
      </c>
      <c r="L268" t="s">
        <v>519</v>
      </c>
      <c r="M268" t="s">
        <v>5</v>
      </c>
      <c r="N268" t="s">
        <v>5</v>
      </c>
      <c r="O268" t="s">
        <v>5</v>
      </c>
    </row>
    <row r="269" spans="1:15" x14ac:dyDescent="0.35">
      <c r="A269" t="s">
        <v>21</v>
      </c>
      <c r="B269" t="s">
        <v>457</v>
      </c>
      <c r="C269" t="s">
        <v>515</v>
      </c>
      <c r="D269" t="s">
        <v>11</v>
      </c>
      <c r="E269" t="s">
        <v>11</v>
      </c>
      <c r="F269" t="s">
        <v>516</v>
      </c>
      <c r="G269" t="s">
        <v>516</v>
      </c>
      <c r="H269" t="s">
        <v>518</v>
      </c>
      <c r="I269" t="s">
        <v>530</v>
      </c>
      <c r="J269" t="s">
        <v>22</v>
      </c>
      <c r="K269" t="s">
        <v>458</v>
      </c>
      <c r="L269" t="s">
        <v>519</v>
      </c>
      <c r="M269" t="s">
        <v>5</v>
      </c>
      <c r="N269" t="s">
        <v>5</v>
      </c>
      <c r="O269" t="s">
        <v>5</v>
      </c>
    </row>
    <row r="270" spans="1:15" x14ac:dyDescent="0.35">
      <c r="A270" t="s">
        <v>19</v>
      </c>
      <c r="B270" t="s">
        <v>460</v>
      </c>
      <c r="C270" t="s">
        <v>515</v>
      </c>
      <c r="D270" t="s">
        <v>11</v>
      </c>
      <c r="E270" t="s">
        <v>11</v>
      </c>
      <c r="F270" t="s">
        <v>516</v>
      </c>
      <c r="G270" t="s">
        <v>516</v>
      </c>
      <c r="H270" t="s">
        <v>518</v>
      </c>
      <c r="I270" t="s">
        <v>530</v>
      </c>
      <c r="J270" t="s">
        <v>20</v>
      </c>
      <c r="K270" t="s">
        <v>461</v>
      </c>
      <c r="L270" t="s">
        <v>519</v>
      </c>
      <c r="M270" t="s">
        <v>5</v>
      </c>
      <c r="N270" t="s">
        <v>5</v>
      </c>
      <c r="O270" t="s">
        <v>5</v>
      </c>
    </row>
    <row r="271" spans="1:15" x14ac:dyDescent="0.35">
      <c r="A271" t="s">
        <v>19</v>
      </c>
      <c r="B271" t="s">
        <v>462</v>
      </c>
      <c r="C271" t="s">
        <v>515</v>
      </c>
      <c r="D271" t="s">
        <v>11</v>
      </c>
      <c r="E271" t="s">
        <v>11</v>
      </c>
      <c r="F271" t="s">
        <v>516</v>
      </c>
      <c r="G271" t="s">
        <v>516</v>
      </c>
      <c r="H271" t="s">
        <v>518</v>
      </c>
      <c r="I271" t="s">
        <v>530</v>
      </c>
      <c r="J271" t="s">
        <v>20</v>
      </c>
      <c r="K271" t="s">
        <v>463</v>
      </c>
      <c r="L271" t="s">
        <v>519</v>
      </c>
      <c r="M271" t="s">
        <v>5</v>
      </c>
      <c r="N271" t="s">
        <v>5</v>
      </c>
      <c r="O271" t="s">
        <v>5</v>
      </c>
    </row>
    <row r="272" spans="1:15" x14ac:dyDescent="0.35">
      <c r="A272" t="s">
        <v>19</v>
      </c>
      <c r="B272" t="s">
        <v>464</v>
      </c>
      <c r="C272" t="s">
        <v>515</v>
      </c>
      <c r="D272" t="s">
        <v>11</v>
      </c>
      <c r="E272" t="s">
        <v>11</v>
      </c>
      <c r="F272" t="s">
        <v>516</v>
      </c>
      <c r="G272" t="s">
        <v>516</v>
      </c>
      <c r="H272" t="s">
        <v>518</v>
      </c>
      <c r="I272" t="s">
        <v>530</v>
      </c>
      <c r="J272" t="s">
        <v>20</v>
      </c>
      <c r="K272" t="s">
        <v>465</v>
      </c>
      <c r="L272" t="s">
        <v>519</v>
      </c>
      <c r="M272" t="s">
        <v>5</v>
      </c>
      <c r="N272" t="s">
        <v>5</v>
      </c>
      <c r="O27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Detail1</vt:lpstr>
      <vt:lpstr>Project Controls Analysis</vt:lpstr>
      <vt:lpstr>Earned Value S-Curve</vt:lpstr>
      <vt:lpstr>Project Data</vt:lpstr>
      <vt:lpstr>Resource Sheet</vt:lpstr>
      <vt:lpstr>Predecessors</vt:lpstr>
      <vt:lpstr>'Earned Value S-Curve'!Print_Area</vt:lpstr>
      <vt:lpstr>'Project Controls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Saxena</cp:lastModifiedBy>
  <cp:lastPrinted>2026-03-08T16:18:58Z</cp:lastPrinted>
  <dcterms:modified xsi:type="dcterms:W3CDTF">2026-03-08T18:20:34Z</dcterms:modified>
</cp:coreProperties>
</file>